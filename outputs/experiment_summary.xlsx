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db14571e8fadf0c/Desktop/BA ^0 Agentic AI Resources/Assignments/Capestone project/arifahmedvastari_bitsom_ba_2511513_kpi_experiment/outputs/"/>
    </mc:Choice>
  </mc:AlternateContent>
  <xr:revisionPtr revIDLastSave="302" documentId="8_{9F3B95F0-30DB-4515-9B97-03DF3D533851}" xr6:coauthVersionLast="47" xr6:coauthVersionMax="47" xr10:uidLastSave="{2CC8C6CB-F924-437F-B338-BD6179AF86B0}"/>
  <bookViews>
    <workbookView xWindow="-90" yWindow="0" windowWidth="15970" windowHeight="13770" firstSheet="3" activeTab="4" xr2:uid="{171E4B5A-8144-4169-912D-E36E47E49E6C}"/>
  </bookViews>
  <sheets>
    <sheet name="Executive Summary" sheetId="1" r:id="rId1"/>
    <sheet name="Region_Analysis" sheetId="6" r:id="rId2"/>
    <sheet name="Device Type Analysis" sheetId="3" r:id="rId3"/>
    <sheet name="Traffic Source Analysis" sheetId="4" r:id="rId4"/>
    <sheet name="Guardrail_Analysis" sheetId="7" r:id="rId5"/>
    <sheet name="Raw_Data" sheetId="5" r:id="rId6"/>
  </sheets>
  <calcPr calcId="191029"/>
  <pivotCaches>
    <pivotCache cacheId="1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5" i="4" l="1"/>
  <c r="D36" i="4"/>
  <c r="D37" i="4"/>
  <c r="D38" i="4"/>
  <c r="D34" i="4"/>
  <c r="D16" i="4"/>
  <c r="D17" i="4"/>
  <c r="D18" i="4"/>
  <c r="D19" i="4"/>
  <c r="D15" i="4"/>
  <c r="D32" i="3"/>
  <c r="D33" i="3"/>
  <c r="D34" i="3"/>
  <c r="D31" i="3"/>
  <c r="D16" i="3"/>
  <c r="D17" i="3"/>
  <c r="D33" i="6"/>
  <c r="D34" i="6"/>
  <c r="D35" i="6"/>
  <c r="D32" i="6"/>
  <c r="D14" i="6"/>
  <c r="D15" i="6"/>
  <c r="D16" i="6"/>
  <c r="D13" i="6"/>
  <c r="N2" i="5" a="1"/>
  <c r="N2" i="5" s="1"/>
  <c r="D17" i="1"/>
  <c r="D16" i="1"/>
  <c r="D15" i="1"/>
  <c r="D14" i="1"/>
  <c r="D13" i="1"/>
  <c r="D12" i="1"/>
  <c r="D11" i="1"/>
  <c r="D10" i="1"/>
  <c r="D9" i="1"/>
  <c r="D8" i="1"/>
  <c r="D7" i="1"/>
  <c r="C14" i="3"/>
  <c r="C15" i="3"/>
  <c r="C17" i="3"/>
  <c r="C16" i="3"/>
  <c r="B17" i="3"/>
  <c r="B16" i="3"/>
  <c r="B15" i="3"/>
  <c r="B14" i="3"/>
  <c r="C35" i="6"/>
  <c r="C34" i="6"/>
  <c r="C33" i="6"/>
  <c r="C32" i="6"/>
  <c r="B35" i="6"/>
  <c r="B34" i="6"/>
  <c r="B33" i="6"/>
  <c r="B32" i="6"/>
  <c r="C16" i="6"/>
  <c r="C15" i="6"/>
  <c r="C14" i="6"/>
  <c r="C13" i="6"/>
  <c r="B16" i="6"/>
  <c r="B15" i="6"/>
  <c r="B14" i="6"/>
  <c r="B13" i="6"/>
  <c r="D15" i="3" l="1"/>
  <c r="D1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<sst xmlns="http://schemas.openxmlformats.org/spreadsheetml/2006/main" count="8636" uniqueCount="1479">
  <si>
    <t>Metric</t>
  </si>
  <si>
    <t>Control</t>
  </si>
  <si>
    <t>Treatment</t>
  </si>
  <si>
    <t>Difference</t>
  </si>
  <si>
    <t>User Count</t>
  </si>
  <si>
    <t>Landing Page Visit Rate</t>
  </si>
  <si>
    <t>Trial Start Rate</t>
  </si>
  <si>
    <t>Onboarding Completion Rate</t>
  </si>
  <si>
    <t>Paid Conversion Rate</t>
  </si>
  <si>
    <t>Average Revenue Per User (ARPU)</t>
  </si>
  <si>
    <t>Average Revenue Per Converted User</t>
  </si>
  <si>
    <t>Refund Rate</t>
  </si>
  <si>
    <t>Support Ticket Rate</t>
  </si>
  <si>
    <t>Average Engagement Score</t>
  </si>
  <si>
    <t>Average Days To Convert</t>
  </si>
  <si>
    <t>Experiment Summary – Control vs Treatment Analysis</t>
  </si>
  <si>
    <t>user_id</t>
  </si>
  <si>
    <t>signup_date</t>
  </si>
  <si>
    <t>experiment_group</t>
  </si>
  <si>
    <t>region</t>
  </si>
  <si>
    <t>device_type</t>
  </si>
  <si>
    <t>traffic_source</t>
  </si>
  <si>
    <t>plan_type</t>
  </si>
  <si>
    <t>visited_landing_page</t>
  </si>
  <si>
    <t>started_trial</t>
  </si>
  <si>
    <t>completed_onboarding</t>
  </si>
  <si>
    <t>converted_to_paid</t>
  </si>
  <si>
    <t>revenue_30d</t>
  </si>
  <si>
    <t>support_tickets_30d</t>
  </si>
  <si>
    <t>Has_Support_Ticket</t>
  </si>
  <si>
    <t>refund_requested</t>
  </si>
  <si>
    <t>days_to_convert</t>
  </si>
  <si>
    <t>engagement_score</t>
  </si>
  <si>
    <t>USR-100001</t>
  </si>
  <si>
    <t>North</t>
  </si>
  <si>
    <t>Desktop</t>
  </si>
  <si>
    <t>Email</t>
  </si>
  <si>
    <t>Basic</t>
  </si>
  <si>
    <t>USR-100002</t>
  </si>
  <si>
    <t>West</t>
  </si>
  <si>
    <t>Mobile</t>
  </si>
  <si>
    <t>Organic</t>
  </si>
  <si>
    <t>Free</t>
  </si>
  <si>
    <t>USR-100003</t>
  </si>
  <si>
    <t>East</t>
  </si>
  <si>
    <t>Paid Search</t>
  </si>
  <si>
    <t>Premium</t>
  </si>
  <si>
    <t>USR-100004</t>
  </si>
  <si>
    <t>South</t>
  </si>
  <si>
    <t>USR-100005</t>
  </si>
  <si>
    <t>Tablet</t>
  </si>
  <si>
    <t>USR-100006</t>
  </si>
  <si>
    <t>USR-100007</t>
  </si>
  <si>
    <t>USR-100008</t>
  </si>
  <si>
    <t>USR-100009</t>
  </si>
  <si>
    <t>Referral</t>
  </si>
  <si>
    <t>USR-100010</t>
  </si>
  <si>
    <t>Social</t>
  </si>
  <si>
    <t>USR-100011</t>
  </si>
  <si>
    <t>USR-100012</t>
  </si>
  <si>
    <t>USR-100013</t>
  </si>
  <si>
    <t>USR-100014</t>
  </si>
  <si>
    <t>USR-100015</t>
  </si>
  <si>
    <t>USR-100016</t>
  </si>
  <si>
    <t>USR-100017</t>
  </si>
  <si>
    <t>USR-100018</t>
  </si>
  <si>
    <t>USR-100019</t>
  </si>
  <si>
    <t>USR-100020</t>
  </si>
  <si>
    <t>USR-100021</t>
  </si>
  <si>
    <t>USR-100022</t>
  </si>
  <si>
    <t>USR-100023</t>
  </si>
  <si>
    <t>USR-100024</t>
  </si>
  <si>
    <t>USR-100025</t>
  </si>
  <si>
    <t>USR-100026</t>
  </si>
  <si>
    <t>USR-100027</t>
  </si>
  <si>
    <t>USR-100028</t>
  </si>
  <si>
    <t>USR-100029</t>
  </si>
  <si>
    <t>USR-100030</t>
  </si>
  <si>
    <t>USR-100031</t>
  </si>
  <si>
    <t>USR-100032</t>
  </si>
  <si>
    <t>USR-100033</t>
  </si>
  <si>
    <t>USR-100034</t>
  </si>
  <si>
    <t>USR-100035</t>
  </si>
  <si>
    <t>USR-100036</t>
  </si>
  <si>
    <t>USR-100037</t>
  </si>
  <si>
    <t>USR-100038</t>
  </si>
  <si>
    <t>USR-100039</t>
  </si>
  <si>
    <t>USR-100040</t>
  </si>
  <si>
    <t>USR-100041</t>
  </si>
  <si>
    <t>USR-100042</t>
  </si>
  <si>
    <t>USR-100043</t>
  </si>
  <si>
    <t>USR-100044</t>
  </si>
  <si>
    <t>USR-100045</t>
  </si>
  <si>
    <t>USR-100046</t>
  </si>
  <si>
    <t>USR-100047</t>
  </si>
  <si>
    <t>USR-100048</t>
  </si>
  <si>
    <t>USR-100049</t>
  </si>
  <si>
    <t>USR-100050</t>
  </si>
  <si>
    <t>USR-100051</t>
  </si>
  <si>
    <t>USR-100052</t>
  </si>
  <si>
    <t>USR-100053</t>
  </si>
  <si>
    <t>USR-100054</t>
  </si>
  <si>
    <t>USR-100055</t>
  </si>
  <si>
    <t>USR-100056</t>
  </si>
  <si>
    <t>USR-100057</t>
  </si>
  <si>
    <t>USR-100058</t>
  </si>
  <si>
    <t>USR-100059</t>
  </si>
  <si>
    <t>USR-100060</t>
  </si>
  <si>
    <t>USR-100061</t>
  </si>
  <si>
    <t>USR-100062</t>
  </si>
  <si>
    <t>USR-100063</t>
  </si>
  <si>
    <t>USR-100064</t>
  </si>
  <si>
    <t>USR-100065</t>
  </si>
  <si>
    <t>USR-100066</t>
  </si>
  <si>
    <t>USR-100067</t>
  </si>
  <si>
    <t>USR-100068</t>
  </si>
  <si>
    <t>USR-100069</t>
  </si>
  <si>
    <t>USR-100070</t>
  </si>
  <si>
    <t>USR-100071</t>
  </si>
  <si>
    <t>USR-100072</t>
  </si>
  <si>
    <t>USR-100073</t>
  </si>
  <si>
    <t>USR-100074</t>
  </si>
  <si>
    <t>USR-100075</t>
  </si>
  <si>
    <t>USR-100076</t>
  </si>
  <si>
    <t>USR-100077</t>
  </si>
  <si>
    <t>USR-100078</t>
  </si>
  <si>
    <t>USR-100079</t>
  </si>
  <si>
    <t>USR-100080</t>
  </si>
  <si>
    <t>USR-100081</t>
  </si>
  <si>
    <t>USR-100082</t>
  </si>
  <si>
    <t>USR-100083</t>
  </si>
  <si>
    <t>USR-100084</t>
  </si>
  <si>
    <t>USR-100085</t>
  </si>
  <si>
    <t>USR-100086</t>
  </si>
  <si>
    <t>USR-100087</t>
  </si>
  <si>
    <t>USR-100088</t>
  </si>
  <si>
    <t>USR-100089</t>
  </si>
  <si>
    <t>USR-100090</t>
  </si>
  <si>
    <t>USR-100091</t>
  </si>
  <si>
    <t>USR-100092</t>
  </si>
  <si>
    <t>USR-100093</t>
  </si>
  <si>
    <t>USR-100094</t>
  </si>
  <si>
    <t>USR-100095</t>
  </si>
  <si>
    <t>USR-100096</t>
  </si>
  <si>
    <t>USR-100097</t>
  </si>
  <si>
    <t>USR-100098</t>
  </si>
  <si>
    <t>USR-100099</t>
  </si>
  <si>
    <t>USR-100100</t>
  </si>
  <si>
    <t>USR-100101</t>
  </si>
  <si>
    <t>USR-100102</t>
  </si>
  <si>
    <t>USR-100103</t>
  </si>
  <si>
    <t>USR-100104</t>
  </si>
  <si>
    <t>USR-100105</t>
  </si>
  <si>
    <t>USR-100106</t>
  </si>
  <si>
    <t>USR-100107</t>
  </si>
  <si>
    <t>USR-100108</t>
  </si>
  <si>
    <t>USR-100109</t>
  </si>
  <si>
    <t>USR-100110</t>
  </si>
  <si>
    <t>USR-100111</t>
  </si>
  <si>
    <t>USR-100112</t>
  </si>
  <si>
    <t>USR-100113</t>
  </si>
  <si>
    <t>USR-100114</t>
  </si>
  <si>
    <t>USR-100115</t>
  </si>
  <si>
    <t>USR-100116</t>
  </si>
  <si>
    <t>USR-100117</t>
  </si>
  <si>
    <t>USR-100118</t>
  </si>
  <si>
    <t>USR-100119</t>
  </si>
  <si>
    <t>USR-100120</t>
  </si>
  <si>
    <t>USR-100121</t>
  </si>
  <si>
    <t>USR-100122</t>
  </si>
  <si>
    <t>USR-100123</t>
  </si>
  <si>
    <t>USR-100124</t>
  </si>
  <si>
    <t>USR-100125</t>
  </si>
  <si>
    <t>USR-100126</t>
  </si>
  <si>
    <t>USR-100127</t>
  </si>
  <si>
    <t>USR-100128</t>
  </si>
  <si>
    <t>USR-100129</t>
  </si>
  <si>
    <t>USR-100130</t>
  </si>
  <si>
    <t>USR-100131</t>
  </si>
  <si>
    <t>USR-100132</t>
  </si>
  <si>
    <t>USR-100133</t>
  </si>
  <si>
    <t>USR-100134</t>
  </si>
  <si>
    <t>USR-100135</t>
  </si>
  <si>
    <t>USR-100136</t>
  </si>
  <si>
    <t>USR-100137</t>
  </si>
  <si>
    <t>USR-100138</t>
  </si>
  <si>
    <t>USR-100139</t>
  </si>
  <si>
    <t>USR-100140</t>
  </si>
  <si>
    <t>USR-100141</t>
  </si>
  <si>
    <t>USR-100142</t>
  </si>
  <si>
    <t>USR-100143</t>
  </si>
  <si>
    <t>USR-100144</t>
  </si>
  <si>
    <t>USR-100145</t>
  </si>
  <si>
    <t>USR-100146</t>
  </si>
  <si>
    <t>USR-100147</t>
  </si>
  <si>
    <t>USR-100148</t>
  </si>
  <si>
    <t>USR-100149</t>
  </si>
  <si>
    <t>USR-100150</t>
  </si>
  <si>
    <t>USR-100151</t>
  </si>
  <si>
    <t>USR-100152</t>
  </si>
  <si>
    <t>USR-100153</t>
  </si>
  <si>
    <t>USR-100154</t>
  </si>
  <si>
    <t>USR-100155</t>
  </si>
  <si>
    <t>USR-100156</t>
  </si>
  <si>
    <t>USR-100157</t>
  </si>
  <si>
    <t>USR-100158</t>
  </si>
  <si>
    <t>USR-100159</t>
  </si>
  <si>
    <t>USR-100160</t>
  </si>
  <si>
    <t>USR-100161</t>
  </si>
  <si>
    <t>USR-100162</t>
  </si>
  <si>
    <t>USR-100163</t>
  </si>
  <si>
    <t>USR-100164</t>
  </si>
  <si>
    <t>USR-100165</t>
  </si>
  <si>
    <t>USR-100166</t>
  </si>
  <si>
    <t>USR-100167</t>
  </si>
  <si>
    <t>USR-100168</t>
  </si>
  <si>
    <t>USR-100169</t>
  </si>
  <si>
    <t>USR-100170</t>
  </si>
  <si>
    <t>USR-100171</t>
  </si>
  <si>
    <t>USR-100172</t>
  </si>
  <si>
    <t>USR-100173</t>
  </si>
  <si>
    <t>USR-100174</t>
  </si>
  <si>
    <t>USR-100175</t>
  </si>
  <si>
    <t>USR-100176</t>
  </si>
  <si>
    <t>USR-100177</t>
  </si>
  <si>
    <t>USR-100178</t>
  </si>
  <si>
    <t>USR-100179</t>
  </si>
  <si>
    <t>USR-100180</t>
  </si>
  <si>
    <t>USR-100181</t>
  </si>
  <si>
    <t>USR-100182</t>
  </si>
  <si>
    <t>USR-100183</t>
  </si>
  <si>
    <t>USR-100184</t>
  </si>
  <si>
    <t>USR-100185</t>
  </si>
  <si>
    <t>USR-100186</t>
  </si>
  <si>
    <t>USR-100187</t>
  </si>
  <si>
    <t>USR-100188</t>
  </si>
  <si>
    <t>USR-100189</t>
  </si>
  <si>
    <t>USR-100190</t>
  </si>
  <si>
    <t>USR-100191</t>
  </si>
  <si>
    <t>USR-100192</t>
  </si>
  <si>
    <t>USR-100193</t>
  </si>
  <si>
    <t>USR-100194</t>
  </si>
  <si>
    <t>USR-100195</t>
  </si>
  <si>
    <t>USR-100196</t>
  </si>
  <si>
    <t>USR-100197</t>
  </si>
  <si>
    <t>USR-100198</t>
  </si>
  <si>
    <t>USR-100199</t>
  </si>
  <si>
    <t>USR-100200</t>
  </si>
  <si>
    <t>USR-100201</t>
  </si>
  <si>
    <t>USR-100202</t>
  </si>
  <si>
    <t>USR-100203</t>
  </si>
  <si>
    <t>USR-100204</t>
  </si>
  <si>
    <t>USR-100205</t>
  </si>
  <si>
    <t>USR-100206</t>
  </si>
  <si>
    <t>USR-100207</t>
  </si>
  <si>
    <t>USR-100208</t>
  </si>
  <si>
    <t>USR-100209</t>
  </si>
  <si>
    <t>USR-100210</t>
  </si>
  <si>
    <t>USR-100211</t>
  </si>
  <si>
    <t>USR-100212</t>
  </si>
  <si>
    <t>USR-100213</t>
  </si>
  <si>
    <t>USR-100214</t>
  </si>
  <si>
    <t>USR-100215</t>
  </si>
  <si>
    <t>USR-100216</t>
  </si>
  <si>
    <t>USR-100217</t>
  </si>
  <si>
    <t>USR-100218</t>
  </si>
  <si>
    <t>USR-100219</t>
  </si>
  <si>
    <t>USR-100220</t>
  </si>
  <si>
    <t>USR-100221</t>
  </si>
  <si>
    <t>USR-100222</t>
  </si>
  <si>
    <t>USR-100223</t>
  </si>
  <si>
    <t>USR-100224</t>
  </si>
  <si>
    <t>USR-100225</t>
  </si>
  <si>
    <t>USR-100226</t>
  </si>
  <si>
    <t>USR-100227</t>
  </si>
  <si>
    <t>USR-100228</t>
  </si>
  <si>
    <t>USR-100229</t>
  </si>
  <si>
    <t>USR-100230</t>
  </si>
  <si>
    <t>USR-100231</t>
  </si>
  <si>
    <t>USR-100232</t>
  </si>
  <si>
    <t>USR-100233</t>
  </si>
  <si>
    <t>USR-100234</t>
  </si>
  <si>
    <t>USR-100235</t>
  </si>
  <si>
    <t>USR-100236</t>
  </si>
  <si>
    <t>USR-100237</t>
  </si>
  <si>
    <t>USR-100238</t>
  </si>
  <si>
    <t>USR-100239</t>
  </si>
  <si>
    <t>USR-100240</t>
  </si>
  <si>
    <t>USR-100241</t>
  </si>
  <si>
    <t>USR-100242</t>
  </si>
  <si>
    <t>USR-100243</t>
  </si>
  <si>
    <t>USR-100244</t>
  </si>
  <si>
    <t>USR-100245</t>
  </si>
  <si>
    <t>USR-100246</t>
  </si>
  <si>
    <t>USR-100247</t>
  </si>
  <si>
    <t>USR-100248</t>
  </si>
  <si>
    <t>USR-100249</t>
  </si>
  <si>
    <t>USR-100250</t>
  </si>
  <si>
    <t>USR-100251</t>
  </si>
  <si>
    <t>USR-100252</t>
  </si>
  <si>
    <t>USR-100253</t>
  </si>
  <si>
    <t>USR-100254</t>
  </si>
  <si>
    <t>USR-100255</t>
  </si>
  <si>
    <t>USR-100256</t>
  </si>
  <si>
    <t>USR-100257</t>
  </si>
  <si>
    <t>USR-100258</t>
  </si>
  <si>
    <t>USR-100259</t>
  </si>
  <si>
    <t>USR-100260</t>
  </si>
  <si>
    <t>USR-100261</t>
  </si>
  <si>
    <t>USR-100262</t>
  </si>
  <si>
    <t>USR-100263</t>
  </si>
  <si>
    <t>USR-100264</t>
  </si>
  <si>
    <t>USR-100265</t>
  </si>
  <si>
    <t>USR-100266</t>
  </si>
  <si>
    <t>USR-100267</t>
  </si>
  <si>
    <t>USR-100268</t>
  </si>
  <si>
    <t>USR-100269</t>
  </si>
  <si>
    <t>USR-100270</t>
  </si>
  <si>
    <t>USR-100271</t>
  </si>
  <si>
    <t>USR-100272</t>
  </si>
  <si>
    <t>USR-100273</t>
  </si>
  <si>
    <t>USR-100274</t>
  </si>
  <si>
    <t>USR-100275</t>
  </si>
  <si>
    <t>USR-100276</t>
  </si>
  <si>
    <t>USR-100277</t>
  </si>
  <si>
    <t>USR-100278</t>
  </si>
  <si>
    <t>USR-100279</t>
  </si>
  <si>
    <t>USR-100280</t>
  </si>
  <si>
    <t>USR-100281</t>
  </si>
  <si>
    <t>USR-100282</t>
  </si>
  <si>
    <t>USR-100283</t>
  </si>
  <si>
    <t>USR-100284</t>
  </si>
  <si>
    <t>USR-100285</t>
  </si>
  <si>
    <t>USR-100286</t>
  </si>
  <si>
    <t>USR-100287</t>
  </si>
  <si>
    <t>USR-100288</t>
  </si>
  <si>
    <t>USR-100289</t>
  </si>
  <si>
    <t>USR-100290</t>
  </si>
  <si>
    <t>USR-100291</t>
  </si>
  <si>
    <t>USR-100292</t>
  </si>
  <si>
    <t>USR-100293</t>
  </si>
  <si>
    <t>USR-100294</t>
  </si>
  <si>
    <t>USR-100295</t>
  </si>
  <si>
    <t>USR-100296</t>
  </si>
  <si>
    <t>USR-100297</t>
  </si>
  <si>
    <t>USR-100298</t>
  </si>
  <si>
    <t>USR-100299</t>
  </si>
  <si>
    <t>USR-100300</t>
  </si>
  <si>
    <t>USR-100301</t>
  </si>
  <si>
    <t>USR-100302</t>
  </si>
  <si>
    <t>USR-100303</t>
  </si>
  <si>
    <t>USR-100304</t>
  </si>
  <si>
    <t>USR-100305</t>
  </si>
  <si>
    <t>USR-100306</t>
  </si>
  <si>
    <t>USR-100307</t>
  </si>
  <si>
    <t>USR-100308</t>
  </si>
  <si>
    <t>USR-100309</t>
  </si>
  <si>
    <t>USR-100310</t>
  </si>
  <si>
    <t>USR-100311</t>
  </si>
  <si>
    <t>USR-100312</t>
  </si>
  <si>
    <t>USR-100313</t>
  </si>
  <si>
    <t>USR-100314</t>
  </si>
  <si>
    <t>USR-100315</t>
  </si>
  <si>
    <t>USR-100316</t>
  </si>
  <si>
    <t>USR-100317</t>
  </si>
  <si>
    <t>USR-100318</t>
  </si>
  <si>
    <t>USR-100319</t>
  </si>
  <si>
    <t>USR-100320</t>
  </si>
  <si>
    <t>USR-100321</t>
  </si>
  <si>
    <t>USR-100322</t>
  </si>
  <si>
    <t>USR-100323</t>
  </si>
  <si>
    <t>USR-100324</t>
  </si>
  <si>
    <t>USR-100325</t>
  </si>
  <si>
    <t>USR-100326</t>
  </si>
  <si>
    <t>USR-100327</t>
  </si>
  <si>
    <t>USR-100328</t>
  </si>
  <si>
    <t>USR-100329</t>
  </si>
  <si>
    <t>USR-100330</t>
  </si>
  <si>
    <t>USR-100331</t>
  </si>
  <si>
    <t>USR-100332</t>
  </si>
  <si>
    <t>USR-100333</t>
  </si>
  <si>
    <t>USR-100334</t>
  </si>
  <si>
    <t>USR-100335</t>
  </si>
  <si>
    <t>USR-100336</t>
  </si>
  <si>
    <t>USR-100337</t>
  </si>
  <si>
    <t>USR-100338</t>
  </si>
  <si>
    <t>USR-100339</t>
  </si>
  <si>
    <t>USR-100340</t>
  </si>
  <si>
    <t>USR-100341</t>
  </si>
  <si>
    <t>USR-100342</t>
  </si>
  <si>
    <t>USR-100343</t>
  </si>
  <si>
    <t>USR-100344</t>
  </si>
  <si>
    <t>USR-100345</t>
  </si>
  <si>
    <t>USR-100346</t>
  </si>
  <si>
    <t>USR-100347</t>
  </si>
  <si>
    <t>USR-100348</t>
  </si>
  <si>
    <t>USR-100349</t>
  </si>
  <si>
    <t>USR-100350</t>
  </si>
  <si>
    <t>USR-100351</t>
  </si>
  <si>
    <t>USR-100352</t>
  </si>
  <si>
    <t>USR-100353</t>
  </si>
  <si>
    <t>USR-100354</t>
  </si>
  <si>
    <t>USR-100355</t>
  </si>
  <si>
    <t>USR-100356</t>
  </si>
  <si>
    <t>USR-100357</t>
  </si>
  <si>
    <t>USR-100358</t>
  </si>
  <si>
    <t>USR-100359</t>
  </si>
  <si>
    <t>USR-100360</t>
  </si>
  <si>
    <t>USR-100361</t>
  </si>
  <si>
    <t>USR-100362</t>
  </si>
  <si>
    <t>USR-100363</t>
  </si>
  <si>
    <t>USR-100364</t>
  </si>
  <si>
    <t>USR-100365</t>
  </si>
  <si>
    <t>USR-100366</t>
  </si>
  <si>
    <t>USR-100367</t>
  </si>
  <si>
    <t>USR-100368</t>
  </si>
  <si>
    <t>USR-100369</t>
  </si>
  <si>
    <t>USR-100370</t>
  </si>
  <si>
    <t>USR-100371</t>
  </si>
  <si>
    <t>USR-100372</t>
  </si>
  <si>
    <t>USR-100373</t>
  </si>
  <si>
    <t>USR-100374</t>
  </si>
  <si>
    <t>USR-100375</t>
  </si>
  <si>
    <t>USR-100376</t>
  </si>
  <si>
    <t>USR-100377</t>
  </si>
  <si>
    <t>USR-100378</t>
  </si>
  <si>
    <t>USR-100379</t>
  </si>
  <si>
    <t>USR-100380</t>
  </si>
  <si>
    <t>USR-100381</t>
  </si>
  <si>
    <t>USR-100382</t>
  </si>
  <si>
    <t>USR-100383</t>
  </si>
  <si>
    <t>USR-100384</t>
  </si>
  <si>
    <t>USR-100385</t>
  </si>
  <si>
    <t>USR-100386</t>
  </si>
  <si>
    <t>USR-100387</t>
  </si>
  <si>
    <t>USR-100388</t>
  </si>
  <si>
    <t>USR-100389</t>
  </si>
  <si>
    <t>USR-100390</t>
  </si>
  <si>
    <t>USR-100391</t>
  </si>
  <si>
    <t>USR-100392</t>
  </si>
  <si>
    <t>USR-100393</t>
  </si>
  <si>
    <t>USR-100394</t>
  </si>
  <si>
    <t>USR-100395</t>
  </si>
  <si>
    <t>USR-100396</t>
  </si>
  <si>
    <t>USR-100397</t>
  </si>
  <si>
    <t>USR-100398</t>
  </si>
  <si>
    <t>USR-100399</t>
  </si>
  <si>
    <t>USR-100400</t>
  </si>
  <si>
    <t>USR-100401</t>
  </si>
  <si>
    <t>USR-100402</t>
  </si>
  <si>
    <t>USR-100403</t>
  </si>
  <si>
    <t>USR-100404</t>
  </si>
  <si>
    <t>USR-100405</t>
  </si>
  <si>
    <t>USR-100406</t>
  </si>
  <si>
    <t>USR-100407</t>
  </si>
  <si>
    <t>USR-100408</t>
  </si>
  <si>
    <t>USR-100409</t>
  </si>
  <si>
    <t>USR-100410</t>
  </si>
  <si>
    <t>USR-100411</t>
  </si>
  <si>
    <t>USR-100412</t>
  </si>
  <si>
    <t>USR-100413</t>
  </si>
  <si>
    <t>USR-100414</t>
  </si>
  <si>
    <t>USR-100415</t>
  </si>
  <si>
    <t>USR-100416</t>
  </si>
  <si>
    <t>USR-100417</t>
  </si>
  <si>
    <t>USR-100418</t>
  </si>
  <si>
    <t>USR-100419</t>
  </si>
  <si>
    <t>USR-100420</t>
  </si>
  <si>
    <t>USR-100421</t>
  </si>
  <si>
    <t>USR-100422</t>
  </si>
  <si>
    <t>USR-100423</t>
  </si>
  <si>
    <t>USR-100424</t>
  </si>
  <si>
    <t>USR-100425</t>
  </si>
  <si>
    <t>USR-100426</t>
  </si>
  <si>
    <t>USR-100427</t>
  </si>
  <si>
    <t>USR-100428</t>
  </si>
  <si>
    <t>USR-100429</t>
  </si>
  <si>
    <t>USR-100430</t>
  </si>
  <si>
    <t>USR-100431</t>
  </si>
  <si>
    <t>USR-100432</t>
  </si>
  <si>
    <t>USR-100433</t>
  </si>
  <si>
    <t>USR-100434</t>
  </si>
  <si>
    <t>USR-100435</t>
  </si>
  <si>
    <t>USR-100436</t>
  </si>
  <si>
    <t>USR-100437</t>
  </si>
  <si>
    <t>USR-100438</t>
  </si>
  <si>
    <t>USR-100439</t>
  </si>
  <si>
    <t>USR-100440</t>
  </si>
  <si>
    <t>USR-100441</t>
  </si>
  <si>
    <t>USR-100442</t>
  </si>
  <si>
    <t>USR-100443</t>
  </si>
  <si>
    <t>USR-100444</t>
  </si>
  <si>
    <t>USR-100445</t>
  </si>
  <si>
    <t>USR-100446</t>
  </si>
  <si>
    <t>USR-100447</t>
  </si>
  <si>
    <t>USR-100448</t>
  </si>
  <si>
    <t>USR-100449</t>
  </si>
  <si>
    <t>USR-100450</t>
  </si>
  <si>
    <t>USR-100451</t>
  </si>
  <si>
    <t>USR-100452</t>
  </si>
  <si>
    <t>USR-100453</t>
  </si>
  <si>
    <t>USR-100454</t>
  </si>
  <si>
    <t>USR-100455</t>
  </si>
  <si>
    <t>USR-100456</t>
  </si>
  <si>
    <t>USR-100457</t>
  </si>
  <si>
    <t>USR-100458</t>
  </si>
  <si>
    <t>USR-100459</t>
  </si>
  <si>
    <t>USR-100460</t>
  </si>
  <si>
    <t>USR-100461</t>
  </si>
  <si>
    <t>USR-100462</t>
  </si>
  <si>
    <t>USR-100463</t>
  </si>
  <si>
    <t>USR-100464</t>
  </si>
  <si>
    <t>USR-100465</t>
  </si>
  <si>
    <t>USR-100466</t>
  </si>
  <si>
    <t>USR-100467</t>
  </si>
  <si>
    <t>USR-100468</t>
  </si>
  <si>
    <t>USR-100469</t>
  </si>
  <si>
    <t>USR-100470</t>
  </si>
  <si>
    <t>USR-100471</t>
  </si>
  <si>
    <t>USR-100472</t>
  </si>
  <si>
    <t>USR-100473</t>
  </si>
  <si>
    <t>USR-100474</t>
  </si>
  <si>
    <t>USR-100475</t>
  </si>
  <si>
    <t>USR-100476</t>
  </si>
  <si>
    <t>USR-100477</t>
  </si>
  <si>
    <t>USR-100478</t>
  </si>
  <si>
    <t>USR-100479</t>
  </si>
  <si>
    <t>USR-100480</t>
  </si>
  <si>
    <t>USR-100481</t>
  </si>
  <si>
    <t>USR-100482</t>
  </si>
  <si>
    <t>USR-100483</t>
  </si>
  <si>
    <t>USR-100484</t>
  </si>
  <si>
    <t>USR-100485</t>
  </si>
  <si>
    <t>USR-100486</t>
  </si>
  <si>
    <t>USR-100487</t>
  </si>
  <si>
    <t>USR-100488</t>
  </si>
  <si>
    <t>USR-100489</t>
  </si>
  <si>
    <t>USR-100490</t>
  </si>
  <si>
    <t>USR-100491</t>
  </si>
  <si>
    <t>USR-100492</t>
  </si>
  <si>
    <t>USR-100493</t>
  </si>
  <si>
    <t>USR-100494</t>
  </si>
  <si>
    <t>USR-100495</t>
  </si>
  <si>
    <t>USR-100496</t>
  </si>
  <si>
    <t>USR-100497</t>
  </si>
  <si>
    <t>USR-100498</t>
  </si>
  <si>
    <t>USR-100499</t>
  </si>
  <si>
    <t>USR-100500</t>
  </si>
  <si>
    <t>USR-100501</t>
  </si>
  <si>
    <t>USR-100502</t>
  </si>
  <si>
    <t>USR-100503</t>
  </si>
  <si>
    <t>USR-100504</t>
  </si>
  <si>
    <t>USR-100505</t>
  </si>
  <si>
    <t>USR-100506</t>
  </si>
  <si>
    <t>USR-100507</t>
  </si>
  <si>
    <t>USR-100508</t>
  </si>
  <si>
    <t>USR-100509</t>
  </si>
  <si>
    <t>USR-100510</t>
  </si>
  <si>
    <t>USR-100511</t>
  </si>
  <si>
    <t>USR-100512</t>
  </si>
  <si>
    <t>USR-100513</t>
  </si>
  <si>
    <t>USR-100514</t>
  </si>
  <si>
    <t>USR-100515</t>
  </si>
  <si>
    <t>USR-100516</t>
  </si>
  <si>
    <t>USR-100517</t>
  </si>
  <si>
    <t>USR-100518</t>
  </si>
  <si>
    <t>USR-100519</t>
  </si>
  <si>
    <t>USR-100520</t>
  </si>
  <si>
    <t>USR-100521</t>
  </si>
  <si>
    <t>USR-100522</t>
  </si>
  <si>
    <t>USR-100523</t>
  </si>
  <si>
    <t>USR-100524</t>
  </si>
  <si>
    <t>USR-100525</t>
  </si>
  <si>
    <t>USR-100526</t>
  </si>
  <si>
    <t>USR-100527</t>
  </si>
  <si>
    <t>USR-100528</t>
  </si>
  <si>
    <t>USR-100529</t>
  </si>
  <si>
    <t>USR-100530</t>
  </si>
  <si>
    <t>USR-100531</t>
  </si>
  <si>
    <t>USR-100532</t>
  </si>
  <si>
    <t>USR-100533</t>
  </si>
  <si>
    <t>USR-100534</t>
  </si>
  <si>
    <t>USR-100535</t>
  </si>
  <si>
    <t>USR-100536</t>
  </si>
  <si>
    <t>USR-100537</t>
  </si>
  <si>
    <t>USR-100538</t>
  </si>
  <si>
    <t>USR-100539</t>
  </si>
  <si>
    <t>USR-100540</t>
  </si>
  <si>
    <t>USR-100541</t>
  </si>
  <si>
    <t>USR-100542</t>
  </si>
  <si>
    <t>USR-100543</t>
  </si>
  <si>
    <t>USR-100544</t>
  </si>
  <si>
    <t>USR-100545</t>
  </si>
  <si>
    <t>USR-100546</t>
  </si>
  <si>
    <t>USR-100547</t>
  </si>
  <si>
    <t>USR-100548</t>
  </si>
  <si>
    <t>USR-100549</t>
  </si>
  <si>
    <t>USR-100550</t>
  </si>
  <si>
    <t>USR-100551</t>
  </si>
  <si>
    <t>USR-100552</t>
  </si>
  <si>
    <t>USR-100553</t>
  </si>
  <si>
    <t>USR-100554</t>
  </si>
  <si>
    <t>USR-100555</t>
  </si>
  <si>
    <t>USR-100556</t>
  </si>
  <si>
    <t>USR-100557</t>
  </si>
  <si>
    <t>USR-100558</t>
  </si>
  <si>
    <t>USR-100559</t>
  </si>
  <si>
    <t>USR-100560</t>
  </si>
  <si>
    <t>USR-100561</t>
  </si>
  <si>
    <t>USR-100562</t>
  </si>
  <si>
    <t>USR-100563</t>
  </si>
  <si>
    <t>USR-100564</t>
  </si>
  <si>
    <t>USR-100565</t>
  </si>
  <si>
    <t>USR-100566</t>
  </si>
  <si>
    <t>USR-100567</t>
  </si>
  <si>
    <t>USR-100568</t>
  </si>
  <si>
    <t>USR-100569</t>
  </si>
  <si>
    <t>USR-100570</t>
  </si>
  <si>
    <t>USR-100571</t>
  </si>
  <si>
    <t>USR-100572</t>
  </si>
  <si>
    <t>USR-100573</t>
  </si>
  <si>
    <t>USR-100574</t>
  </si>
  <si>
    <t>USR-100575</t>
  </si>
  <si>
    <t>USR-100576</t>
  </si>
  <si>
    <t>USR-100577</t>
  </si>
  <si>
    <t>USR-100578</t>
  </si>
  <si>
    <t>USR-100579</t>
  </si>
  <si>
    <t>USR-100580</t>
  </si>
  <si>
    <t>USR-100581</t>
  </si>
  <si>
    <t>USR-100582</t>
  </si>
  <si>
    <t>USR-100583</t>
  </si>
  <si>
    <t>USR-100584</t>
  </si>
  <si>
    <t>USR-100585</t>
  </si>
  <si>
    <t>USR-100586</t>
  </si>
  <si>
    <t>USR-100587</t>
  </si>
  <si>
    <t>USR-100588</t>
  </si>
  <si>
    <t>USR-100589</t>
  </si>
  <si>
    <t>USR-100590</t>
  </si>
  <si>
    <t>USR-100591</t>
  </si>
  <si>
    <t>USR-100592</t>
  </si>
  <si>
    <t>USR-100593</t>
  </si>
  <si>
    <t>USR-100594</t>
  </si>
  <si>
    <t>USR-100595</t>
  </si>
  <si>
    <t>USR-100596</t>
  </si>
  <si>
    <t>USR-100597</t>
  </si>
  <si>
    <t>USR-100598</t>
  </si>
  <si>
    <t>USR-100599</t>
  </si>
  <si>
    <t>USR-100600</t>
  </si>
  <si>
    <t>USR-100601</t>
  </si>
  <si>
    <t>USR-100602</t>
  </si>
  <si>
    <t>USR-100603</t>
  </si>
  <si>
    <t>USR-100604</t>
  </si>
  <si>
    <t>USR-100605</t>
  </si>
  <si>
    <t>USR-100606</t>
  </si>
  <si>
    <t>USR-100607</t>
  </si>
  <si>
    <t>USR-100608</t>
  </si>
  <si>
    <t>USR-100609</t>
  </si>
  <si>
    <t>USR-100610</t>
  </si>
  <si>
    <t>USR-100611</t>
  </si>
  <si>
    <t>USR-100612</t>
  </si>
  <si>
    <t>USR-100613</t>
  </si>
  <si>
    <t>USR-100614</t>
  </si>
  <si>
    <t>USR-100615</t>
  </si>
  <si>
    <t>USR-100616</t>
  </si>
  <si>
    <t>USR-100617</t>
  </si>
  <si>
    <t>USR-100618</t>
  </si>
  <si>
    <t>USR-100619</t>
  </si>
  <si>
    <t>USR-100620</t>
  </si>
  <si>
    <t>USR-100621</t>
  </si>
  <si>
    <t>USR-100622</t>
  </si>
  <si>
    <t>USR-100623</t>
  </si>
  <si>
    <t>USR-100624</t>
  </si>
  <si>
    <t>USR-100625</t>
  </si>
  <si>
    <t>USR-100626</t>
  </si>
  <si>
    <t>USR-100627</t>
  </si>
  <si>
    <t>USR-100628</t>
  </si>
  <si>
    <t>USR-100629</t>
  </si>
  <si>
    <t>USR-100630</t>
  </si>
  <si>
    <t>USR-100631</t>
  </si>
  <si>
    <t>USR-100632</t>
  </si>
  <si>
    <t>USR-100633</t>
  </si>
  <si>
    <t>USR-100634</t>
  </si>
  <si>
    <t>USR-100635</t>
  </si>
  <si>
    <t>USR-100636</t>
  </si>
  <si>
    <t>USR-100637</t>
  </si>
  <si>
    <t>USR-100638</t>
  </si>
  <si>
    <t>USR-100639</t>
  </si>
  <si>
    <t>USR-100640</t>
  </si>
  <si>
    <t>USR-100641</t>
  </si>
  <si>
    <t>USR-100642</t>
  </si>
  <si>
    <t>USR-100643</t>
  </si>
  <si>
    <t>USR-100644</t>
  </si>
  <si>
    <t>USR-100645</t>
  </si>
  <si>
    <t>USR-100646</t>
  </si>
  <si>
    <t>USR-100647</t>
  </si>
  <si>
    <t>USR-100648</t>
  </si>
  <si>
    <t>USR-100649</t>
  </si>
  <si>
    <t>USR-100650</t>
  </si>
  <si>
    <t>USR-100651</t>
  </si>
  <si>
    <t>USR-100652</t>
  </si>
  <si>
    <t>USR-100653</t>
  </si>
  <si>
    <t>USR-100654</t>
  </si>
  <si>
    <t>USR-100655</t>
  </si>
  <si>
    <t>USR-100656</t>
  </si>
  <si>
    <t>USR-100657</t>
  </si>
  <si>
    <t>USR-100658</t>
  </si>
  <si>
    <t>USR-100659</t>
  </si>
  <si>
    <t>USR-100660</t>
  </si>
  <si>
    <t>USR-100661</t>
  </si>
  <si>
    <t>USR-100662</t>
  </si>
  <si>
    <t>USR-100663</t>
  </si>
  <si>
    <t>USR-100664</t>
  </si>
  <si>
    <t>USR-100665</t>
  </si>
  <si>
    <t>USR-100666</t>
  </si>
  <si>
    <t>USR-100667</t>
  </si>
  <si>
    <t>USR-100668</t>
  </si>
  <si>
    <t>USR-100669</t>
  </si>
  <si>
    <t>USR-100670</t>
  </si>
  <si>
    <t>USR-100671</t>
  </si>
  <si>
    <t>USR-100672</t>
  </si>
  <si>
    <t>USR-100673</t>
  </si>
  <si>
    <t>USR-100674</t>
  </si>
  <si>
    <t>USR-100675</t>
  </si>
  <si>
    <t>USR-100676</t>
  </si>
  <si>
    <t>USR-100677</t>
  </si>
  <si>
    <t>USR-100678</t>
  </si>
  <si>
    <t>USR-100679</t>
  </si>
  <si>
    <t>USR-100680</t>
  </si>
  <si>
    <t>USR-100681</t>
  </si>
  <si>
    <t>USR-100682</t>
  </si>
  <si>
    <t>USR-100683</t>
  </si>
  <si>
    <t>USR-100684</t>
  </si>
  <si>
    <t>USR-100685</t>
  </si>
  <si>
    <t>USR-100686</t>
  </si>
  <si>
    <t>USR-100687</t>
  </si>
  <si>
    <t>USR-100688</t>
  </si>
  <si>
    <t>USR-100689</t>
  </si>
  <si>
    <t>USR-100690</t>
  </si>
  <si>
    <t>USR-100691</t>
  </si>
  <si>
    <t>USR-100692</t>
  </si>
  <si>
    <t>USR-100693</t>
  </si>
  <si>
    <t>USR-100694</t>
  </si>
  <si>
    <t>USR-100695</t>
  </si>
  <si>
    <t>USR-100696</t>
  </si>
  <si>
    <t>USR-100697</t>
  </si>
  <si>
    <t>USR-100698</t>
  </si>
  <si>
    <t>USR-100699</t>
  </si>
  <si>
    <t>USR-100700</t>
  </si>
  <si>
    <t>USR-100701</t>
  </si>
  <si>
    <t>USR-100702</t>
  </si>
  <si>
    <t>USR-100703</t>
  </si>
  <si>
    <t>USR-100704</t>
  </si>
  <si>
    <t>USR-100705</t>
  </si>
  <si>
    <t>USR-100706</t>
  </si>
  <si>
    <t>USR-100707</t>
  </si>
  <si>
    <t>USR-100708</t>
  </si>
  <si>
    <t>USR-100709</t>
  </si>
  <si>
    <t>USR-100710</t>
  </si>
  <si>
    <t>USR-100711</t>
  </si>
  <si>
    <t>USR-100712</t>
  </si>
  <si>
    <t>USR-100713</t>
  </si>
  <si>
    <t>USR-100714</t>
  </si>
  <si>
    <t>USR-100715</t>
  </si>
  <si>
    <t>USR-100716</t>
  </si>
  <si>
    <t>USR-100717</t>
  </si>
  <si>
    <t>USR-100718</t>
  </si>
  <si>
    <t>USR-100719</t>
  </si>
  <si>
    <t>USR-100720</t>
  </si>
  <si>
    <t>USR-100721</t>
  </si>
  <si>
    <t>USR-100722</t>
  </si>
  <si>
    <t>USR-100723</t>
  </si>
  <si>
    <t>USR-100724</t>
  </si>
  <si>
    <t>USR-100725</t>
  </si>
  <si>
    <t>USR-100726</t>
  </si>
  <si>
    <t>USR-100727</t>
  </si>
  <si>
    <t>USR-100728</t>
  </si>
  <si>
    <t>USR-100729</t>
  </si>
  <si>
    <t>USR-100730</t>
  </si>
  <si>
    <t>USR-100731</t>
  </si>
  <si>
    <t>USR-100732</t>
  </si>
  <si>
    <t>USR-100733</t>
  </si>
  <si>
    <t>USR-100734</t>
  </si>
  <si>
    <t>USR-100735</t>
  </si>
  <si>
    <t>USR-100736</t>
  </si>
  <si>
    <t>USR-100737</t>
  </si>
  <si>
    <t>USR-100738</t>
  </si>
  <si>
    <t>USR-100739</t>
  </si>
  <si>
    <t>USR-100740</t>
  </si>
  <si>
    <t>USR-100741</t>
  </si>
  <si>
    <t>USR-100742</t>
  </si>
  <si>
    <t>USR-100743</t>
  </si>
  <si>
    <t>USR-100744</t>
  </si>
  <si>
    <t>USR-100745</t>
  </si>
  <si>
    <t>USR-100746</t>
  </si>
  <si>
    <t>USR-100747</t>
  </si>
  <si>
    <t>USR-100748</t>
  </si>
  <si>
    <t>USR-100749</t>
  </si>
  <si>
    <t>USR-100750</t>
  </si>
  <si>
    <t>USR-100751</t>
  </si>
  <si>
    <t>USR-100752</t>
  </si>
  <si>
    <t>USR-100753</t>
  </si>
  <si>
    <t>USR-100754</t>
  </si>
  <si>
    <t>USR-100755</t>
  </si>
  <si>
    <t>USR-100756</t>
  </si>
  <si>
    <t>USR-100757</t>
  </si>
  <si>
    <t>USR-100758</t>
  </si>
  <si>
    <t>USR-100759</t>
  </si>
  <si>
    <t>USR-100760</t>
  </si>
  <si>
    <t>USR-100761</t>
  </si>
  <si>
    <t>USR-100762</t>
  </si>
  <si>
    <t>USR-100763</t>
  </si>
  <si>
    <t>USR-100764</t>
  </si>
  <si>
    <t>USR-100765</t>
  </si>
  <si>
    <t>USR-100766</t>
  </si>
  <si>
    <t>USR-100767</t>
  </si>
  <si>
    <t>USR-100768</t>
  </si>
  <si>
    <t>USR-100769</t>
  </si>
  <si>
    <t>USR-100770</t>
  </si>
  <si>
    <t>USR-100771</t>
  </si>
  <si>
    <t>USR-100772</t>
  </si>
  <si>
    <t>USR-100773</t>
  </si>
  <si>
    <t>USR-100774</t>
  </si>
  <si>
    <t>USR-100775</t>
  </si>
  <si>
    <t>USR-100776</t>
  </si>
  <si>
    <t>USR-100777</t>
  </si>
  <si>
    <t>USR-100778</t>
  </si>
  <si>
    <t>USR-100779</t>
  </si>
  <si>
    <t>USR-100780</t>
  </si>
  <si>
    <t>USR-100781</t>
  </si>
  <si>
    <t>USR-100782</t>
  </si>
  <si>
    <t>USR-100783</t>
  </si>
  <si>
    <t>USR-100784</t>
  </si>
  <si>
    <t>USR-100785</t>
  </si>
  <si>
    <t>USR-100786</t>
  </si>
  <si>
    <t>USR-100787</t>
  </si>
  <si>
    <t>USR-100788</t>
  </si>
  <si>
    <t>USR-100789</t>
  </si>
  <si>
    <t>USR-100790</t>
  </si>
  <si>
    <t>USR-100791</t>
  </si>
  <si>
    <t>USR-100792</t>
  </si>
  <si>
    <t>USR-100793</t>
  </si>
  <si>
    <t>USR-100794</t>
  </si>
  <si>
    <t>USR-100795</t>
  </si>
  <si>
    <t>USR-100796</t>
  </si>
  <si>
    <t>USR-100797</t>
  </si>
  <si>
    <t>USR-100798</t>
  </si>
  <si>
    <t>USR-100799</t>
  </si>
  <si>
    <t>USR-100800</t>
  </si>
  <si>
    <t>USR-100801</t>
  </si>
  <si>
    <t>USR-100802</t>
  </si>
  <si>
    <t>USR-100803</t>
  </si>
  <si>
    <t>USR-100804</t>
  </si>
  <si>
    <t>USR-100805</t>
  </si>
  <si>
    <t>USR-100806</t>
  </si>
  <si>
    <t>USR-100807</t>
  </si>
  <si>
    <t>USR-100808</t>
  </si>
  <si>
    <t>USR-100809</t>
  </si>
  <si>
    <t>USR-100810</t>
  </si>
  <si>
    <t>USR-100811</t>
  </si>
  <si>
    <t>USR-100812</t>
  </si>
  <si>
    <t>USR-100813</t>
  </si>
  <si>
    <t>USR-100814</t>
  </si>
  <si>
    <t>USR-100815</t>
  </si>
  <si>
    <t>USR-100816</t>
  </si>
  <si>
    <t>USR-100817</t>
  </si>
  <si>
    <t>USR-100818</t>
  </si>
  <si>
    <t>USR-100819</t>
  </si>
  <si>
    <t>USR-100820</t>
  </si>
  <si>
    <t>USR-100821</t>
  </si>
  <si>
    <t>USR-100822</t>
  </si>
  <si>
    <t>USR-100823</t>
  </si>
  <si>
    <t>USR-100824</t>
  </si>
  <si>
    <t>USR-100825</t>
  </si>
  <si>
    <t>USR-100826</t>
  </si>
  <si>
    <t>USR-100827</t>
  </si>
  <si>
    <t>USR-100828</t>
  </si>
  <si>
    <t>USR-100829</t>
  </si>
  <si>
    <t>USR-100830</t>
  </si>
  <si>
    <t>USR-100831</t>
  </si>
  <si>
    <t>USR-100832</t>
  </si>
  <si>
    <t>USR-100833</t>
  </si>
  <si>
    <t>USR-100834</t>
  </si>
  <si>
    <t>USR-100835</t>
  </si>
  <si>
    <t>USR-100836</t>
  </si>
  <si>
    <t>USR-100837</t>
  </si>
  <si>
    <t>USR-100838</t>
  </si>
  <si>
    <t>USR-100839</t>
  </si>
  <si>
    <t>USR-100840</t>
  </si>
  <si>
    <t>USR-100841</t>
  </si>
  <si>
    <t>USR-100842</t>
  </si>
  <si>
    <t>USR-100843</t>
  </si>
  <si>
    <t>USR-100844</t>
  </si>
  <si>
    <t>USR-100845</t>
  </si>
  <si>
    <t>USR-100846</t>
  </si>
  <si>
    <t>USR-100847</t>
  </si>
  <si>
    <t>USR-100848</t>
  </si>
  <si>
    <t>USR-100849</t>
  </si>
  <si>
    <t>USR-100850</t>
  </si>
  <si>
    <t>USR-100851</t>
  </si>
  <si>
    <t>USR-100852</t>
  </si>
  <si>
    <t>USR-100853</t>
  </si>
  <si>
    <t>USR-100854</t>
  </si>
  <si>
    <t>USR-100855</t>
  </si>
  <si>
    <t>USR-100856</t>
  </si>
  <si>
    <t>USR-100857</t>
  </si>
  <si>
    <t>USR-100858</t>
  </si>
  <si>
    <t>USR-100859</t>
  </si>
  <si>
    <t>USR-100860</t>
  </si>
  <si>
    <t>USR-100861</t>
  </si>
  <si>
    <t>USR-100862</t>
  </si>
  <si>
    <t>USR-100863</t>
  </si>
  <si>
    <t>USR-100864</t>
  </si>
  <si>
    <t>USR-100865</t>
  </si>
  <si>
    <t>USR-100866</t>
  </si>
  <si>
    <t>USR-100867</t>
  </si>
  <si>
    <t>USR-100868</t>
  </si>
  <si>
    <t>USR-100869</t>
  </si>
  <si>
    <t>USR-100870</t>
  </si>
  <si>
    <t>USR-100871</t>
  </si>
  <si>
    <t>USR-100872</t>
  </si>
  <si>
    <t>USR-100873</t>
  </si>
  <si>
    <t>USR-100874</t>
  </si>
  <si>
    <t>USR-100875</t>
  </si>
  <si>
    <t>USR-100876</t>
  </si>
  <si>
    <t>USR-100877</t>
  </si>
  <si>
    <t>USR-100878</t>
  </si>
  <si>
    <t>USR-100879</t>
  </si>
  <si>
    <t>USR-100880</t>
  </si>
  <si>
    <t>USR-100881</t>
  </si>
  <si>
    <t>USR-100882</t>
  </si>
  <si>
    <t>USR-100883</t>
  </si>
  <si>
    <t>USR-100884</t>
  </si>
  <si>
    <t>USR-100885</t>
  </si>
  <si>
    <t>USR-100886</t>
  </si>
  <si>
    <t>USR-100887</t>
  </si>
  <si>
    <t>USR-100888</t>
  </si>
  <si>
    <t>USR-100889</t>
  </si>
  <si>
    <t>USR-100890</t>
  </si>
  <si>
    <t>USR-100891</t>
  </si>
  <si>
    <t>USR-100892</t>
  </si>
  <si>
    <t>USR-100893</t>
  </si>
  <si>
    <t>USR-100894</t>
  </si>
  <si>
    <t>USR-100895</t>
  </si>
  <si>
    <t>USR-100896</t>
  </si>
  <si>
    <t>USR-100897</t>
  </si>
  <si>
    <t>USR-100898</t>
  </si>
  <si>
    <t>USR-100899</t>
  </si>
  <si>
    <t>USR-100900</t>
  </si>
  <si>
    <t>USR-100901</t>
  </si>
  <si>
    <t>USR-100902</t>
  </si>
  <si>
    <t>USR-100903</t>
  </si>
  <si>
    <t>USR-100904</t>
  </si>
  <si>
    <t>USR-100905</t>
  </si>
  <si>
    <t>USR-100906</t>
  </si>
  <si>
    <t>USR-100907</t>
  </si>
  <si>
    <t>USR-100908</t>
  </si>
  <si>
    <t>USR-100909</t>
  </si>
  <si>
    <t>USR-100910</t>
  </si>
  <si>
    <t>USR-100911</t>
  </si>
  <si>
    <t>USR-100912</t>
  </si>
  <si>
    <t>USR-100913</t>
  </si>
  <si>
    <t>USR-100914</t>
  </si>
  <si>
    <t>USR-100915</t>
  </si>
  <si>
    <t>USR-100916</t>
  </si>
  <si>
    <t>USR-100917</t>
  </si>
  <si>
    <t>USR-100918</t>
  </si>
  <si>
    <t>USR-100919</t>
  </si>
  <si>
    <t>USR-100920</t>
  </si>
  <si>
    <t>USR-100921</t>
  </si>
  <si>
    <t>USR-100922</t>
  </si>
  <si>
    <t>USR-100923</t>
  </si>
  <si>
    <t>USR-100924</t>
  </si>
  <si>
    <t>USR-100925</t>
  </si>
  <si>
    <t>USR-100926</t>
  </si>
  <si>
    <t>USR-100927</t>
  </si>
  <si>
    <t>USR-100928</t>
  </si>
  <si>
    <t>USR-100929</t>
  </si>
  <si>
    <t>USR-100930</t>
  </si>
  <si>
    <t>USR-100931</t>
  </si>
  <si>
    <t>USR-100932</t>
  </si>
  <si>
    <t>USR-100933</t>
  </si>
  <si>
    <t>USR-100934</t>
  </si>
  <si>
    <t>USR-100935</t>
  </si>
  <si>
    <t>USR-100936</t>
  </si>
  <si>
    <t>USR-100937</t>
  </si>
  <si>
    <t>USR-100938</t>
  </si>
  <si>
    <t>USR-100939</t>
  </si>
  <si>
    <t>USR-100940</t>
  </si>
  <si>
    <t>USR-100941</t>
  </si>
  <si>
    <t>USR-100942</t>
  </si>
  <si>
    <t>USR-100943</t>
  </si>
  <si>
    <t>USR-100944</t>
  </si>
  <si>
    <t>USR-100945</t>
  </si>
  <si>
    <t>USR-100946</t>
  </si>
  <si>
    <t>USR-100947</t>
  </si>
  <si>
    <t>USR-100948</t>
  </si>
  <si>
    <t>USR-100949</t>
  </si>
  <si>
    <t>USR-100950</t>
  </si>
  <si>
    <t>USR-100951</t>
  </si>
  <si>
    <t>USR-100952</t>
  </si>
  <si>
    <t>USR-100953</t>
  </si>
  <si>
    <t>USR-100954</t>
  </si>
  <si>
    <t>USR-100955</t>
  </si>
  <si>
    <t>USR-100956</t>
  </si>
  <si>
    <t>USR-100957</t>
  </si>
  <si>
    <t>USR-100958</t>
  </si>
  <si>
    <t>USR-100959</t>
  </si>
  <si>
    <t>USR-100960</t>
  </si>
  <si>
    <t>USR-100961</t>
  </si>
  <si>
    <t>USR-100962</t>
  </si>
  <si>
    <t>USR-100963</t>
  </si>
  <si>
    <t>USR-100964</t>
  </si>
  <si>
    <t>USR-100965</t>
  </si>
  <si>
    <t>USR-100966</t>
  </si>
  <si>
    <t>USR-100967</t>
  </si>
  <si>
    <t>USR-100968</t>
  </si>
  <si>
    <t>USR-100969</t>
  </si>
  <si>
    <t>USR-100970</t>
  </si>
  <si>
    <t>USR-100971</t>
  </si>
  <si>
    <t>USR-100972</t>
  </si>
  <si>
    <t>USR-100973</t>
  </si>
  <si>
    <t>USR-100974</t>
  </si>
  <si>
    <t>USR-100975</t>
  </si>
  <si>
    <t>USR-100976</t>
  </si>
  <si>
    <t>USR-100977</t>
  </si>
  <si>
    <t>USR-100978</t>
  </si>
  <si>
    <t>USR-100979</t>
  </si>
  <si>
    <t>USR-100980</t>
  </si>
  <si>
    <t>USR-100981</t>
  </si>
  <si>
    <t>USR-100982</t>
  </si>
  <si>
    <t>USR-100983</t>
  </si>
  <si>
    <t>USR-100984</t>
  </si>
  <si>
    <t>USR-100985</t>
  </si>
  <si>
    <t>USR-100986</t>
  </si>
  <si>
    <t>USR-100987</t>
  </si>
  <si>
    <t>USR-100988</t>
  </si>
  <si>
    <t>USR-100989</t>
  </si>
  <si>
    <t>USR-100990</t>
  </si>
  <si>
    <t>USR-100991</t>
  </si>
  <si>
    <t>USR-100992</t>
  </si>
  <si>
    <t>USR-100993</t>
  </si>
  <si>
    <t>USR-100994</t>
  </si>
  <si>
    <t>USR-100995</t>
  </si>
  <si>
    <t>USR-100996</t>
  </si>
  <si>
    <t>USR-100997</t>
  </si>
  <si>
    <t>USR-100998</t>
  </si>
  <si>
    <t>USR-100999</t>
  </si>
  <si>
    <t>USR-101000</t>
  </si>
  <si>
    <t>USR-101001</t>
  </si>
  <si>
    <t>USR-101002</t>
  </si>
  <si>
    <t>USR-101003</t>
  </si>
  <si>
    <t>USR-101004</t>
  </si>
  <si>
    <t>USR-101005</t>
  </si>
  <si>
    <t>USR-101006</t>
  </si>
  <si>
    <t>USR-101007</t>
  </si>
  <si>
    <t>USR-101008</t>
  </si>
  <si>
    <t>USR-101009</t>
  </si>
  <si>
    <t>USR-101010</t>
  </si>
  <si>
    <t>USR-101011</t>
  </si>
  <si>
    <t>USR-101012</t>
  </si>
  <si>
    <t>USR-101013</t>
  </si>
  <si>
    <t>USR-101014</t>
  </si>
  <si>
    <t>USR-101015</t>
  </si>
  <si>
    <t>USR-101016</t>
  </si>
  <si>
    <t>USR-101017</t>
  </si>
  <si>
    <t>USR-101018</t>
  </si>
  <si>
    <t>USR-101019</t>
  </si>
  <si>
    <t>USR-101020</t>
  </si>
  <si>
    <t>USR-101021</t>
  </si>
  <si>
    <t>USR-101022</t>
  </si>
  <si>
    <t>USR-101023</t>
  </si>
  <si>
    <t>USR-101024</t>
  </si>
  <si>
    <t>USR-101025</t>
  </si>
  <si>
    <t>USR-101026</t>
  </si>
  <si>
    <t>USR-101027</t>
  </si>
  <si>
    <t>USR-101028</t>
  </si>
  <si>
    <t>USR-101029</t>
  </si>
  <si>
    <t>USR-101030</t>
  </si>
  <si>
    <t>USR-101031</t>
  </si>
  <si>
    <t>USR-101032</t>
  </si>
  <si>
    <t>USR-101033</t>
  </si>
  <si>
    <t>USR-101034</t>
  </si>
  <si>
    <t>USR-101035</t>
  </si>
  <si>
    <t>USR-101036</t>
  </si>
  <si>
    <t>USR-101037</t>
  </si>
  <si>
    <t>USR-101038</t>
  </si>
  <si>
    <t>USR-101039</t>
  </si>
  <si>
    <t>USR-101040</t>
  </si>
  <si>
    <t>USR-101041</t>
  </si>
  <si>
    <t>USR-101042</t>
  </si>
  <si>
    <t>USR-101043</t>
  </si>
  <si>
    <t>USR-101044</t>
  </si>
  <si>
    <t>USR-101045</t>
  </si>
  <si>
    <t>USR-101046</t>
  </si>
  <si>
    <t>USR-101047</t>
  </si>
  <si>
    <t>USR-101048</t>
  </si>
  <si>
    <t>USR-101049</t>
  </si>
  <si>
    <t>USR-101050</t>
  </si>
  <si>
    <t>USR-101051</t>
  </si>
  <si>
    <t>USR-101052</t>
  </si>
  <si>
    <t>USR-101053</t>
  </si>
  <si>
    <t>USR-101054</t>
  </si>
  <si>
    <t>USR-101055</t>
  </si>
  <si>
    <t>USR-101056</t>
  </si>
  <si>
    <t>USR-101057</t>
  </si>
  <si>
    <t>USR-101058</t>
  </si>
  <si>
    <t>USR-101059</t>
  </si>
  <si>
    <t>USR-101060</t>
  </si>
  <si>
    <t>USR-101061</t>
  </si>
  <si>
    <t>USR-101062</t>
  </si>
  <si>
    <t>USR-101063</t>
  </si>
  <si>
    <t>USR-101064</t>
  </si>
  <si>
    <t>USR-101065</t>
  </si>
  <si>
    <t>USR-101066</t>
  </si>
  <si>
    <t>USR-101067</t>
  </si>
  <si>
    <t>USR-101068</t>
  </si>
  <si>
    <t>USR-101069</t>
  </si>
  <si>
    <t>USR-101070</t>
  </si>
  <si>
    <t>USR-101071</t>
  </si>
  <si>
    <t>USR-101072</t>
  </si>
  <si>
    <t>USR-101073</t>
  </si>
  <si>
    <t>USR-101074</t>
  </si>
  <si>
    <t>USR-101075</t>
  </si>
  <si>
    <t>USR-101076</t>
  </si>
  <si>
    <t>USR-101077</t>
  </si>
  <si>
    <t>USR-101078</t>
  </si>
  <si>
    <t>USR-101079</t>
  </si>
  <si>
    <t>USR-101080</t>
  </si>
  <si>
    <t>USR-101081</t>
  </si>
  <si>
    <t>USR-101082</t>
  </si>
  <si>
    <t>USR-101083</t>
  </si>
  <si>
    <t>USR-101084</t>
  </si>
  <si>
    <t>USR-101085</t>
  </si>
  <si>
    <t>USR-101086</t>
  </si>
  <si>
    <t>USR-101087</t>
  </si>
  <si>
    <t>USR-101088</t>
  </si>
  <si>
    <t>USR-101089</t>
  </si>
  <si>
    <t>USR-101090</t>
  </si>
  <si>
    <t>USR-101091</t>
  </si>
  <si>
    <t>USR-101092</t>
  </si>
  <si>
    <t>USR-101093</t>
  </si>
  <si>
    <t>USR-101094</t>
  </si>
  <si>
    <t>USR-101095</t>
  </si>
  <si>
    <t>USR-101096</t>
  </si>
  <si>
    <t>USR-101097</t>
  </si>
  <si>
    <t>USR-101098</t>
  </si>
  <si>
    <t>USR-101099</t>
  </si>
  <si>
    <t>USR-101100</t>
  </si>
  <si>
    <t>USR-101101</t>
  </si>
  <si>
    <t>USR-101102</t>
  </si>
  <si>
    <t>USR-101103</t>
  </si>
  <si>
    <t>USR-101104</t>
  </si>
  <si>
    <t>USR-101105</t>
  </si>
  <si>
    <t>USR-101106</t>
  </si>
  <si>
    <t>USR-101107</t>
  </si>
  <si>
    <t>USR-101108</t>
  </si>
  <si>
    <t>USR-101109</t>
  </si>
  <si>
    <t>USR-101110</t>
  </si>
  <si>
    <t>USR-101111</t>
  </si>
  <si>
    <t>USR-101112</t>
  </si>
  <si>
    <t>USR-101113</t>
  </si>
  <si>
    <t>USR-101114</t>
  </si>
  <si>
    <t>USR-101115</t>
  </si>
  <si>
    <t>USR-101116</t>
  </si>
  <si>
    <t>USR-101117</t>
  </si>
  <si>
    <t>USR-101118</t>
  </si>
  <si>
    <t>USR-101119</t>
  </si>
  <si>
    <t>USR-101120</t>
  </si>
  <si>
    <t>USR-101121</t>
  </si>
  <si>
    <t>USR-101122</t>
  </si>
  <si>
    <t>USR-101123</t>
  </si>
  <si>
    <t>USR-101124</t>
  </si>
  <si>
    <t>USR-101125</t>
  </si>
  <si>
    <t>USR-101126</t>
  </si>
  <si>
    <t>USR-101127</t>
  </si>
  <si>
    <t>USR-101128</t>
  </si>
  <si>
    <t>USR-101129</t>
  </si>
  <si>
    <t>USR-101130</t>
  </si>
  <si>
    <t>USR-101131</t>
  </si>
  <si>
    <t>USR-101132</t>
  </si>
  <si>
    <t>USR-101133</t>
  </si>
  <si>
    <t>USR-101134</t>
  </si>
  <si>
    <t>USR-101135</t>
  </si>
  <si>
    <t>USR-101136</t>
  </si>
  <si>
    <t>USR-101137</t>
  </si>
  <si>
    <t>USR-101138</t>
  </si>
  <si>
    <t>USR-101139</t>
  </si>
  <si>
    <t>USR-101140</t>
  </si>
  <si>
    <t>USR-101141</t>
  </si>
  <si>
    <t>USR-101142</t>
  </si>
  <si>
    <t>USR-101143</t>
  </si>
  <si>
    <t>USR-101144</t>
  </si>
  <si>
    <t>USR-101145</t>
  </si>
  <si>
    <t>USR-101146</t>
  </si>
  <si>
    <t>USR-101147</t>
  </si>
  <si>
    <t>USR-101148</t>
  </si>
  <si>
    <t>USR-101149</t>
  </si>
  <si>
    <t>USR-101150</t>
  </si>
  <si>
    <t>USR-101151</t>
  </si>
  <si>
    <t>USR-101152</t>
  </si>
  <si>
    <t>USR-101153</t>
  </si>
  <si>
    <t>USR-101154</t>
  </si>
  <si>
    <t>USR-101155</t>
  </si>
  <si>
    <t>USR-101156</t>
  </si>
  <si>
    <t>USR-101157</t>
  </si>
  <si>
    <t>USR-101158</t>
  </si>
  <si>
    <t>USR-101159</t>
  </si>
  <si>
    <t>USR-101160</t>
  </si>
  <si>
    <t>USR-101161</t>
  </si>
  <si>
    <t>USR-101162</t>
  </si>
  <si>
    <t>USR-101163</t>
  </si>
  <si>
    <t>USR-101164</t>
  </si>
  <si>
    <t>USR-101165</t>
  </si>
  <si>
    <t>USR-101166</t>
  </si>
  <si>
    <t>USR-101167</t>
  </si>
  <si>
    <t>USR-101168</t>
  </si>
  <si>
    <t>USR-101169</t>
  </si>
  <si>
    <t>USR-101170</t>
  </si>
  <si>
    <t>USR-101171</t>
  </si>
  <si>
    <t>USR-101172</t>
  </si>
  <si>
    <t>USR-101173</t>
  </si>
  <si>
    <t>USR-101174</t>
  </si>
  <si>
    <t>USR-101175</t>
  </si>
  <si>
    <t>USR-101176</t>
  </si>
  <si>
    <t>USR-101177</t>
  </si>
  <si>
    <t>USR-101178</t>
  </si>
  <si>
    <t>USR-101179</t>
  </si>
  <si>
    <t>USR-101180</t>
  </si>
  <si>
    <t>USR-101181</t>
  </si>
  <si>
    <t>USR-101182</t>
  </si>
  <si>
    <t>USR-101183</t>
  </si>
  <si>
    <t>USR-101184</t>
  </si>
  <si>
    <t>USR-101185</t>
  </si>
  <si>
    <t>USR-101186</t>
  </si>
  <si>
    <t>USR-101187</t>
  </si>
  <si>
    <t>USR-101188</t>
  </si>
  <si>
    <t>USR-101189</t>
  </si>
  <si>
    <t>USR-101190</t>
  </si>
  <si>
    <t>USR-101191</t>
  </si>
  <si>
    <t>USR-101192</t>
  </si>
  <si>
    <t>USR-101193</t>
  </si>
  <si>
    <t>USR-101194</t>
  </si>
  <si>
    <t>USR-101195</t>
  </si>
  <si>
    <t>USR-101196</t>
  </si>
  <si>
    <t>USR-101197</t>
  </si>
  <si>
    <t>USR-101198</t>
  </si>
  <si>
    <t>USR-101199</t>
  </si>
  <si>
    <t>USR-101200</t>
  </si>
  <si>
    <t>USR-101201</t>
  </si>
  <si>
    <t>USR-101202</t>
  </si>
  <si>
    <t>USR-101203</t>
  </si>
  <si>
    <t>USR-101204</t>
  </si>
  <si>
    <t>USR-101205</t>
  </si>
  <si>
    <t>USR-101206</t>
  </si>
  <si>
    <t>USR-101207</t>
  </si>
  <si>
    <t>USR-101208</t>
  </si>
  <si>
    <t>USR-101209</t>
  </si>
  <si>
    <t>USR-101210</t>
  </si>
  <si>
    <t>USR-101211</t>
  </si>
  <si>
    <t>USR-101212</t>
  </si>
  <si>
    <t>USR-101213</t>
  </si>
  <si>
    <t>USR-101214</t>
  </si>
  <si>
    <t>USR-101215</t>
  </si>
  <si>
    <t>USR-101216</t>
  </si>
  <si>
    <t>USR-101217</t>
  </si>
  <si>
    <t>USR-101218</t>
  </si>
  <si>
    <t>USR-101219</t>
  </si>
  <si>
    <t>USR-101220</t>
  </si>
  <si>
    <t>USR-101221</t>
  </si>
  <si>
    <t>USR-101222</t>
  </si>
  <si>
    <t>USR-101223</t>
  </si>
  <si>
    <t>USR-101224</t>
  </si>
  <si>
    <t>USR-101225</t>
  </si>
  <si>
    <t>USR-101226</t>
  </si>
  <si>
    <t>USR-101227</t>
  </si>
  <si>
    <t>USR-101228</t>
  </si>
  <si>
    <t>USR-101229</t>
  </si>
  <si>
    <t>USR-101230</t>
  </si>
  <si>
    <t>USR-101231</t>
  </si>
  <si>
    <t>USR-101232</t>
  </si>
  <si>
    <t>USR-101233</t>
  </si>
  <si>
    <t>USR-101234</t>
  </si>
  <si>
    <t>USR-101235</t>
  </si>
  <si>
    <t>USR-101236</t>
  </si>
  <si>
    <t>USR-101237</t>
  </si>
  <si>
    <t>USR-101238</t>
  </si>
  <si>
    <t>USR-101239</t>
  </si>
  <si>
    <t>USR-101240</t>
  </si>
  <si>
    <t>USR-101241</t>
  </si>
  <si>
    <t>USR-101242</t>
  </si>
  <si>
    <t>USR-101243</t>
  </si>
  <si>
    <t>USR-101244</t>
  </si>
  <si>
    <t>USR-101245</t>
  </si>
  <si>
    <t>USR-101246</t>
  </si>
  <si>
    <t>USR-101247</t>
  </si>
  <si>
    <t>USR-101248</t>
  </si>
  <si>
    <t>USR-101249</t>
  </si>
  <si>
    <t>USR-101250</t>
  </si>
  <si>
    <t>USR-101251</t>
  </si>
  <si>
    <t>USR-101252</t>
  </si>
  <si>
    <t>USR-101253</t>
  </si>
  <si>
    <t>USR-101254</t>
  </si>
  <si>
    <t>USR-101255</t>
  </si>
  <si>
    <t>USR-101256</t>
  </si>
  <si>
    <t>USR-101257</t>
  </si>
  <si>
    <t>USR-101258</t>
  </si>
  <si>
    <t>USR-101259</t>
  </si>
  <si>
    <t>USR-101260</t>
  </si>
  <si>
    <t>USR-101261</t>
  </si>
  <si>
    <t>USR-101262</t>
  </si>
  <si>
    <t>USR-101263</t>
  </si>
  <si>
    <t>USR-101264</t>
  </si>
  <si>
    <t>USR-101265</t>
  </si>
  <si>
    <t>USR-101266</t>
  </si>
  <si>
    <t>USR-101267</t>
  </si>
  <si>
    <t>USR-101268</t>
  </si>
  <si>
    <t>USR-101269</t>
  </si>
  <si>
    <t>USR-101270</t>
  </si>
  <si>
    <t>USR-101271</t>
  </si>
  <si>
    <t>USR-101272</t>
  </si>
  <si>
    <t>USR-101273</t>
  </si>
  <si>
    <t>USR-101274</t>
  </si>
  <si>
    <t>USR-101275</t>
  </si>
  <si>
    <t>USR-101276</t>
  </si>
  <si>
    <t>USR-101277</t>
  </si>
  <si>
    <t>USR-101278</t>
  </si>
  <si>
    <t>USR-101279</t>
  </si>
  <si>
    <t>USR-101280</t>
  </si>
  <si>
    <t>USR-101281</t>
  </si>
  <si>
    <t>USR-101282</t>
  </si>
  <si>
    <t>USR-101283</t>
  </si>
  <si>
    <t>USR-101284</t>
  </si>
  <si>
    <t>USR-101285</t>
  </si>
  <si>
    <t>USR-101286</t>
  </si>
  <si>
    <t>USR-101287</t>
  </si>
  <si>
    <t>USR-101288</t>
  </si>
  <si>
    <t>USR-101289</t>
  </si>
  <si>
    <t>USR-101290</t>
  </si>
  <si>
    <t>USR-101291</t>
  </si>
  <si>
    <t>USR-101292</t>
  </si>
  <si>
    <t>USR-101293</t>
  </si>
  <si>
    <t>USR-101294</t>
  </si>
  <si>
    <t>USR-101295</t>
  </si>
  <si>
    <t>USR-101296</t>
  </si>
  <si>
    <t>USR-101297</t>
  </si>
  <si>
    <t>USR-101298</t>
  </si>
  <si>
    <t>USR-101299</t>
  </si>
  <si>
    <t>USR-101300</t>
  </si>
  <si>
    <t>USR-101301</t>
  </si>
  <si>
    <t>USR-101302</t>
  </si>
  <si>
    <t>USR-101303</t>
  </si>
  <si>
    <t>USR-101304</t>
  </si>
  <si>
    <t>USR-101305</t>
  </si>
  <si>
    <t>USR-101306</t>
  </si>
  <si>
    <t>USR-101307</t>
  </si>
  <si>
    <t>USR-101308</t>
  </si>
  <si>
    <t>USR-101309</t>
  </si>
  <si>
    <t>USR-101310</t>
  </si>
  <si>
    <t>USR-101311</t>
  </si>
  <si>
    <t>USR-101312</t>
  </si>
  <si>
    <t>USR-101313</t>
  </si>
  <si>
    <t>USR-101314</t>
  </si>
  <si>
    <t>USR-101315</t>
  </si>
  <si>
    <t>USR-101316</t>
  </si>
  <si>
    <t>USR-101317</t>
  </si>
  <si>
    <t>USR-101318</t>
  </si>
  <si>
    <t>USR-101319</t>
  </si>
  <si>
    <t>USR-101320</t>
  </si>
  <si>
    <t>USR-101321</t>
  </si>
  <si>
    <t>USR-101322</t>
  </si>
  <si>
    <t>USR-101323</t>
  </si>
  <si>
    <t>USR-101324</t>
  </si>
  <si>
    <t>USR-101325</t>
  </si>
  <si>
    <t>USR-101326</t>
  </si>
  <si>
    <t>USR-101327</t>
  </si>
  <si>
    <t>USR-101328</t>
  </si>
  <si>
    <t>USR-101329</t>
  </si>
  <si>
    <t>USR-101330</t>
  </si>
  <si>
    <t>USR-101331</t>
  </si>
  <si>
    <t>USR-101332</t>
  </si>
  <si>
    <t>USR-101333</t>
  </si>
  <si>
    <t>USR-101334</t>
  </si>
  <si>
    <t>USR-101335</t>
  </si>
  <si>
    <t>USR-101336</t>
  </si>
  <si>
    <t>USR-101337</t>
  </si>
  <si>
    <t>USR-101338</t>
  </si>
  <si>
    <t>USR-101339</t>
  </si>
  <si>
    <t>USR-101340</t>
  </si>
  <si>
    <t>USR-101341</t>
  </si>
  <si>
    <t>USR-101342</t>
  </si>
  <si>
    <t>USR-101343</t>
  </si>
  <si>
    <t>USR-101344</t>
  </si>
  <si>
    <t>USR-101345</t>
  </si>
  <si>
    <t>USR-101346</t>
  </si>
  <si>
    <t>USR-101347</t>
  </si>
  <si>
    <t>USR-101348</t>
  </si>
  <si>
    <t>USR-101349</t>
  </si>
  <si>
    <t>USR-101350</t>
  </si>
  <si>
    <t>USR-101351</t>
  </si>
  <si>
    <t>USR-101352</t>
  </si>
  <si>
    <t>USR-101353</t>
  </si>
  <si>
    <t>USR-101354</t>
  </si>
  <si>
    <t>USR-101355</t>
  </si>
  <si>
    <t>USR-101356</t>
  </si>
  <si>
    <t>USR-101357</t>
  </si>
  <si>
    <t>USR-101358</t>
  </si>
  <si>
    <t>USR-101359</t>
  </si>
  <si>
    <t>USR-101360</t>
  </si>
  <si>
    <t>USR-101361</t>
  </si>
  <si>
    <t>USR-101362</t>
  </si>
  <si>
    <t>USR-101363</t>
  </si>
  <si>
    <t>USR-101364</t>
  </si>
  <si>
    <t>USR-101365</t>
  </si>
  <si>
    <t>USR-101366</t>
  </si>
  <si>
    <t>USR-101367</t>
  </si>
  <si>
    <t>USR-101368</t>
  </si>
  <si>
    <t>USR-101369</t>
  </si>
  <si>
    <t>USR-101370</t>
  </si>
  <si>
    <t>USR-101371</t>
  </si>
  <si>
    <t>USR-101372</t>
  </si>
  <si>
    <t>USR-101373</t>
  </si>
  <si>
    <t>USR-101374</t>
  </si>
  <si>
    <t>USR-101375</t>
  </si>
  <si>
    <t>USR-101376</t>
  </si>
  <si>
    <t>USR-101377</t>
  </si>
  <si>
    <t>USR-101378</t>
  </si>
  <si>
    <t>USR-101379</t>
  </si>
  <si>
    <t>USR-101380</t>
  </si>
  <si>
    <t>USR-101381</t>
  </si>
  <si>
    <t>USR-101382</t>
  </si>
  <si>
    <t>USR-101383</t>
  </si>
  <si>
    <t>USR-101384</t>
  </si>
  <si>
    <t>USR-101385</t>
  </si>
  <si>
    <t>USR-101386</t>
  </si>
  <si>
    <t>USR-101387</t>
  </si>
  <si>
    <t>USR-101388</t>
  </si>
  <si>
    <t>USR-101389</t>
  </si>
  <si>
    <t>USR-101390</t>
  </si>
  <si>
    <t>USR-101391</t>
  </si>
  <si>
    <t>USR-101392</t>
  </si>
  <si>
    <t>USR-101393</t>
  </si>
  <si>
    <t>USR-101394</t>
  </si>
  <si>
    <t>USR-101395</t>
  </si>
  <si>
    <t>USR-101396</t>
  </si>
  <si>
    <t>USR-101397</t>
  </si>
  <si>
    <t>USR-101398</t>
  </si>
  <si>
    <t>USR-101399</t>
  </si>
  <si>
    <t>USR-101400</t>
  </si>
  <si>
    <t>Row Labels</t>
  </si>
  <si>
    <t>Grand Total</t>
  </si>
  <si>
    <t>Column Labels</t>
  </si>
  <si>
    <t>Sum of converted_to_paid</t>
  </si>
  <si>
    <t>Total Sum of converted_to_paid</t>
  </si>
  <si>
    <t>Total Count of user_id</t>
  </si>
  <si>
    <t>Count of user_id</t>
  </si>
  <si>
    <t>Region</t>
  </si>
  <si>
    <t>Control Conv %</t>
  </si>
  <si>
    <t>Treatment Conv %</t>
  </si>
  <si>
    <t>Total Sum of Has_Support_Ticket</t>
  </si>
  <si>
    <t>Sum of Has_Support_Ticket</t>
  </si>
  <si>
    <t>Paid Conversion Rate by Region</t>
  </si>
  <si>
    <t>Engagement Score by Region</t>
  </si>
  <si>
    <t>Support Ticket Rate by Region</t>
  </si>
  <si>
    <t>Control Rate</t>
  </si>
  <si>
    <t>Treatment Rate</t>
  </si>
  <si>
    <t>Average of engagement_score</t>
  </si>
  <si>
    <t>(blank)</t>
  </si>
  <si>
    <t>Device Type</t>
  </si>
  <si>
    <t>Paid Conversion Rate by Device Type</t>
  </si>
  <si>
    <t>Support Ticket Rate by Device Type</t>
  </si>
  <si>
    <t>Engagement Score by Device Type</t>
  </si>
  <si>
    <t>Traffic Source</t>
  </si>
  <si>
    <t>Guardrail Metric</t>
  </si>
  <si>
    <t>Risk Level</t>
  </si>
  <si>
    <t>Low</t>
  </si>
  <si>
    <t>Medium</t>
  </si>
  <si>
    <t>Avg Revenue Per Converted User</t>
  </si>
  <si>
    <t>Guardrail Summary Table</t>
  </si>
  <si>
    <t>Medium-High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</si>
</sst>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Aptos Narrow"/>
      <family val="2"/>
      <scheme val="minor"/>
    </font>
    <font>
      <b/>
      <sz val="11"/>
      <color theme="1"/>
      <name val="Aptos Narrow"/>
      <family val="2"/>
      <scheme val="minor"/>
    </font>
    <font>
      <b/>
      <sz val="11"/>
      <color rgb="FFFFFFFF"/>
      <name val="Carlito"/>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155E75"/>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0" fillId="0" borderId="1" xfId="0" applyBorder="1" applyAlignment="1">
      <alignment vertical="center"/>
    </xf>
    <xf numFmtId="10" fontId="0" fillId="0" borderId="1" xfId="0" applyNumberFormat="1" applyBorder="1"/>
    <xf numFmtId="10" fontId="0" fillId="0" borderId="1" xfId="0" applyNumberFormat="1" applyBorder="1" applyAlignment="1">
      <alignment vertical="center"/>
    </xf>
    <xf numFmtId="0" fontId="0" fillId="0" borderId="1" xfId="0" applyBorder="1"/>
    <xf numFmtId="0" fontId="1" fillId="3" borderId="1" xfId="0" applyFont="1" applyFill="1" applyBorder="1" applyAlignment="1">
      <alignment horizontal="center" vertical="center"/>
    </xf>
    <xf numFmtId="0" fontId="0" fillId="2" borderId="2" xfId="0" applyFill="1" applyBorder="1" applyAlignment="1">
      <alignment horizontal="center"/>
    </xf>
    <xf numFmtId="0" fontId="2" fillId="4"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wrapText="1"/>
    </xf>
    <xf numFmtId="0" fontId="1" fillId="0" borderId="1" xfId="0" applyFont="1" applyBorder="1" applyAlignment="1">
      <alignment horizontal="center" vertical="center"/>
    </xf>
    <xf numFmtId="0" fontId="1" fillId="2" borderId="0" xfId="0" applyFont="1" applyFill="1" applyAlignment="1">
      <alignment horizontal="center"/>
    </xf>
    <xf numFmtId="0" fontId="1" fillId="0" borderId="1" xfId="0" applyFont="1" applyBorder="1" applyAlignment="1">
      <alignment horizontal="center" vertical="center" wrapText="1"/>
    </xf>
    <xf numFmtId="0" fontId="1" fillId="2" borderId="0" xfId="0" applyFont="1" applyFill="1" applyAlignment="1"/>
    <xf numFmtId="0" fontId="1" fillId="0" borderId="0" xfId="0" applyFont="1" applyFill="1" applyAlignment="1"/>
    <xf numFmtId="0" fontId="0" fillId="0" borderId="1" xfId="0" applyBorder="1" applyAlignment="1">
      <alignment horizontal="left"/>
    </xf>
    <xf numFmtId="0" fontId="1" fillId="0" borderId="0" xfId="0" applyFont="1" applyBorder="1" applyAlignment="1">
      <alignment horizontal="center" vertical="center"/>
    </xf>
    <xf numFmtId="0" fontId="0" fillId="0" borderId="0" xfId="0" applyBorder="1" applyAlignment="1">
      <alignment vertical="center"/>
    </xf>
    <xf numFmtId="10" fontId="0" fillId="0" borderId="0" xfId="0" applyNumberFormat="1" applyBorder="1" applyAlignment="1">
      <alignment vertical="center"/>
    </xf>
    <xf numFmtId="0" fontId="0" fillId="0" borderId="0" xfId="0" applyBorder="1" applyAlignment="1">
      <alignment horizontal="left"/>
    </xf>
    <xf numFmtId="10" fontId="0" fillId="0" borderId="0" xfId="0" applyNumberForma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406400</xdr:colOff>
      <xdr:row>19</xdr:row>
      <xdr:rowOff>44450</xdr:rowOff>
    </xdr:from>
    <xdr:ext cx="5937250" cy="2197099"/>
    <xdr:sp macro="" textlink="">
      <xdr:nvSpPr>
        <xdr:cNvPr id="2" name="TextBox 1">
          <a:extLst>
            <a:ext uri="{FF2B5EF4-FFF2-40B4-BE49-F238E27FC236}">
              <a16:creationId xmlns:a16="http://schemas.microsoft.com/office/drawing/2014/main" id="{707EBF06-8667-4E69-B24B-A255D12E88E1}"/>
            </a:ext>
          </a:extLst>
        </xdr:cNvPr>
        <xdr:cNvSpPr txBox="1"/>
      </xdr:nvSpPr>
      <xdr:spPr>
        <a:xfrm>
          <a:off x="406400" y="3543300"/>
          <a:ext cx="5937250" cy="219709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p>
          <a:r>
            <a:rPr lang="en-IN" b="1"/>
            <a:t>Key Insights</a:t>
          </a:r>
        </a:p>
        <a:p>
          <a:r>
            <a:rPr lang="en-IN" b="1"/>
            <a:t>1. The Treatment group outperformed the Control group across the entire conversion funnel.</a:t>
          </a:r>
          <a:r>
            <a:rPr lang="en-IN"/>
            <a:t> Paid Conversion Rate increased from </a:t>
          </a:r>
          <a:r>
            <a:rPr lang="en-IN" b="1"/>
            <a:t>3.17% to 6.99%</a:t>
          </a:r>
          <a:r>
            <a:rPr lang="en-IN"/>
            <a:t>, an improvement of </a:t>
          </a:r>
          <a:r>
            <a:rPr lang="en-IN" b="1"/>
            <a:t>3.82 percentage points</a:t>
          </a:r>
          <a:r>
            <a:rPr lang="en-IN"/>
            <a:t>. </a:t>
          </a:r>
        </a:p>
        <a:p>
          <a:r>
            <a:rPr lang="en-IN" b="1"/>
            <a:t>2. User engagement improved significantly</a:t>
          </a:r>
          <a:r>
            <a:rPr lang="en-IN"/>
            <a:t> in the Treatment group, with the average Engagement Score increasing from </a:t>
          </a:r>
          <a:r>
            <a:rPr lang="en-IN" b="1"/>
            <a:t>57.03 to 62.93</a:t>
          </a:r>
          <a:r>
            <a:rPr lang="en-IN"/>
            <a:t>. </a:t>
          </a:r>
        </a:p>
        <a:p>
          <a:r>
            <a:rPr lang="en-IN" b="1"/>
            <a:t>3. Users converted faster</a:t>
          </a:r>
          <a:r>
            <a:rPr lang="en-IN"/>
            <a:t> in the Treatment group, reducing Average Days to Convert from </a:t>
          </a:r>
          <a:r>
            <a:rPr lang="en-IN" b="1"/>
            <a:t>8.86 days to 6.40 days</a:t>
          </a:r>
          <a:r>
            <a:rPr lang="en-IN"/>
            <a:t>. </a:t>
          </a:r>
        </a:p>
        <a:p>
          <a:r>
            <a:rPr lang="en-IN" b="1"/>
            <a:t>4. Average Revenue Per User (ARPU) increased slightly</a:t>
          </a:r>
          <a:r>
            <a:rPr lang="en-IN"/>
            <a:t> from </a:t>
          </a:r>
          <a:r>
            <a:rPr lang="en-IN" b="1"/>
            <a:t>51.75 to 53.88</a:t>
          </a:r>
          <a:r>
            <a:rPr lang="en-IN"/>
            <a:t>, indicating a positive revenue impact. </a:t>
          </a:r>
        </a:p>
        <a:p>
          <a:r>
            <a:rPr lang="en-IN" b="1"/>
            <a:t>5. Guardrail metrics require attention.</a:t>
          </a:r>
          <a:r>
            <a:rPr lang="en-IN"/>
            <a:t> Support Ticket Rate increased from </a:t>
          </a:r>
          <a:r>
            <a:rPr lang="en-IN" b="1"/>
            <a:t>14.72% to 24.76%</a:t>
          </a:r>
          <a:r>
            <a:rPr lang="en-IN"/>
            <a:t>, and Refund Rate increased from </a:t>
          </a:r>
          <a:r>
            <a:rPr lang="en-IN" b="1"/>
            <a:t>0.00% to 0.42%</a:t>
          </a:r>
          <a:r>
            <a:rPr lang="en-IN"/>
            <a:t>, suggesting potential onboarding or customer support challenges.</a:t>
          </a:r>
        </a:p>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789215</xdr:colOff>
      <xdr:row>31</xdr:row>
      <xdr:rowOff>63501</xdr:rowOff>
    </xdr:from>
    <xdr:ext cx="5125357" cy="1470146"/>
    <xdr:sp macro="" textlink="">
      <xdr:nvSpPr>
        <xdr:cNvPr id="2" name="TextBox 1">
          <a:extLst>
            <a:ext uri="{FF2B5EF4-FFF2-40B4-BE49-F238E27FC236}">
              <a16:creationId xmlns:a16="http://schemas.microsoft.com/office/drawing/2014/main" id="{C7868F70-CDF6-C8CA-C13B-C4C69A8A201C}"/>
            </a:ext>
          </a:extLst>
        </xdr:cNvPr>
        <xdr:cNvSpPr txBox="1"/>
      </xdr:nvSpPr>
      <xdr:spPr>
        <a:xfrm>
          <a:off x="5533572" y="5687787"/>
          <a:ext cx="5125357" cy="147014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b="1"/>
            <a:t>Region-Level Insights</a:t>
          </a:r>
          <a:endParaRPr lang="en-IN"/>
        </a:p>
        <a:p>
          <a:r>
            <a:rPr lang="en-IN"/>
            <a:t>1. Treatment improved Paid Conversion Rate in all regions. </a:t>
          </a:r>
        </a:p>
        <a:p>
          <a:r>
            <a:rPr lang="en-IN"/>
            <a:t>2. North and South showed the highest conversion uplift (~4.3 percentage points). </a:t>
          </a:r>
        </a:p>
        <a:p>
          <a:r>
            <a:rPr lang="en-IN"/>
            <a:t>2. Engagement scores increased consistently across all regions. </a:t>
          </a:r>
        </a:p>
        <a:p>
          <a:r>
            <a:rPr lang="en-IN"/>
            <a:t>4. Support Ticket Rate increased in every region, indicating a potential support burden after rollout. </a:t>
          </a:r>
        </a:p>
        <a:p>
          <a:r>
            <a:rPr lang="en-IN"/>
            <a:t>5. No region showed a decline in the primary KPI, suggesting broad effectiveness of the treatment</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146016</xdr:colOff>
      <xdr:row>29</xdr:row>
      <xdr:rowOff>34637</xdr:rowOff>
    </xdr:from>
    <xdr:ext cx="8046604" cy="2159053"/>
    <xdr:sp macro="" textlink="">
      <xdr:nvSpPr>
        <xdr:cNvPr id="2" name="TextBox 1">
          <a:extLst>
            <a:ext uri="{FF2B5EF4-FFF2-40B4-BE49-F238E27FC236}">
              <a16:creationId xmlns:a16="http://schemas.microsoft.com/office/drawing/2014/main" id="{B83B34A3-9E99-ECB6-EF91-1D9DB3F713A6}"/>
            </a:ext>
          </a:extLst>
        </xdr:cNvPr>
        <xdr:cNvSpPr txBox="1"/>
      </xdr:nvSpPr>
      <xdr:spPr>
        <a:xfrm>
          <a:off x="5106487" y="5450813"/>
          <a:ext cx="8046604" cy="215905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b="1"/>
            <a:t>Device Type Insights</a:t>
          </a:r>
        </a:p>
        <a:p>
          <a:r>
            <a:rPr lang="en-IN" b="1"/>
            <a:t>1. The Treatment group improved Paid Conversion Rate across all major device types.</a:t>
          </a:r>
          <a:r>
            <a:rPr lang="en-IN"/>
            <a:t> Mobile users showed the highest conversion rate increase from </a:t>
          </a:r>
          <a:r>
            <a:rPr lang="en-IN" b="1"/>
            <a:t>2.57% to 7.34%</a:t>
          </a:r>
          <a:r>
            <a:rPr lang="en-IN"/>
            <a:t> (+4.77 percentage points), while Tablet users improved from </a:t>
          </a:r>
          <a:r>
            <a:rPr lang="en-IN" b="1"/>
            <a:t>1.79% to 7.14%</a:t>
          </a:r>
          <a:r>
            <a:rPr lang="en-IN"/>
            <a:t> (+5.36 percentage points). </a:t>
          </a:r>
        </a:p>
        <a:p>
          <a:r>
            <a:rPr lang="en-IN" b="1"/>
            <a:t>2. Mobile users contributed the largest business impact</a:t>
          </a:r>
          <a:r>
            <a:rPr lang="en-IN"/>
            <a:t>, as they represent the biggest user segment (864 users) and generated the highest number of paid conversions in the Treatment group. </a:t>
          </a:r>
        </a:p>
        <a:p>
          <a:r>
            <a:rPr lang="en-IN" b="1"/>
            <a:t>3. User engagement increased consistently across all device types.</a:t>
          </a:r>
          <a:r>
            <a:rPr lang="en-IN"/>
            <a:t> Engagement Score improved from </a:t>
          </a:r>
          <a:r>
            <a:rPr lang="en-IN" b="1"/>
            <a:t>57.21 to 63.25</a:t>
          </a:r>
          <a:r>
            <a:rPr lang="en-IN"/>
            <a:t> for Desktop users, </a:t>
          </a:r>
          <a:r>
            <a:rPr lang="en-IN" b="1"/>
            <a:t>57.35 to 62.78</a:t>
          </a:r>
          <a:r>
            <a:rPr lang="en-IN"/>
            <a:t> for Mobile users, and </a:t>
          </a:r>
          <a:r>
            <a:rPr lang="en-IN" b="1"/>
            <a:t>55.76 to 63.01</a:t>
          </a:r>
          <a:r>
            <a:rPr lang="en-IN"/>
            <a:t> for Tablet users. </a:t>
          </a:r>
        </a:p>
        <a:p>
          <a:r>
            <a:rPr lang="en-IN" b="1"/>
            <a:t>4. Support Ticket Rate increased across all device types</a:t>
          </a:r>
          <a:r>
            <a:rPr lang="en-IN"/>
            <a:t>, with the largest increase observed among Tablet users (10.71% → 21.43%). This suggests that while the new onboarding experience improves conversion, it may also create additional support requirements. </a:t>
          </a:r>
        </a:p>
        <a:p>
          <a:r>
            <a:rPr lang="en-IN" b="1"/>
            <a:t>5. No device segment showed a decline in the primary KPI (Paid Conversion Rate)</a:t>
          </a:r>
          <a:r>
            <a:rPr lang="en-IN"/>
            <a:t>, indicating that the Treatment experience performs consistently well across Desktop, Mobile, and Tablet users.</a:t>
          </a:r>
        </a:p>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646544</xdr:colOff>
      <xdr:row>34</xdr:row>
      <xdr:rowOff>46182</xdr:rowOff>
    </xdr:from>
    <xdr:ext cx="6604001" cy="1986826"/>
    <xdr:sp macro="" textlink="">
      <xdr:nvSpPr>
        <xdr:cNvPr id="2" name="TextBox 1">
          <a:extLst>
            <a:ext uri="{FF2B5EF4-FFF2-40B4-BE49-F238E27FC236}">
              <a16:creationId xmlns:a16="http://schemas.microsoft.com/office/drawing/2014/main" id="{B9F2D166-C32D-94A1-D811-B90B19BB729D}"/>
            </a:ext>
          </a:extLst>
        </xdr:cNvPr>
        <xdr:cNvSpPr txBox="1"/>
      </xdr:nvSpPr>
      <xdr:spPr>
        <a:xfrm>
          <a:off x="5206999" y="6326909"/>
          <a:ext cx="6604001" cy="1986826"/>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b="1"/>
            <a:t>Traffic Source Insights</a:t>
          </a:r>
        </a:p>
        <a:p>
          <a:r>
            <a:rPr lang="en-IN" b="1"/>
            <a:t>1. Referral traffic showed the strongest improvement in Paid Conversion Rate</a:t>
          </a:r>
          <a:r>
            <a:rPr lang="en-IN"/>
            <a:t>, increasing from </a:t>
          </a:r>
          <a:r>
            <a:rPr lang="en-IN" b="1"/>
            <a:t>2.47% to 10.99%</a:t>
          </a:r>
          <a:r>
            <a:rPr lang="en-IN"/>
            <a:t> (+8.52 percentage points), making it the highest-performing acquisition channel in the Treatment group. </a:t>
          </a:r>
        </a:p>
        <a:p>
          <a:r>
            <a:rPr lang="en-IN" b="1"/>
            <a:t>2. Paid Search and Email traffic also experienced significant conversion gains</a:t>
          </a:r>
          <a:r>
            <a:rPr lang="en-IN"/>
            <a:t>, increasing by </a:t>
          </a:r>
          <a:r>
            <a:rPr lang="en-IN" b="1"/>
            <a:t>4.97 percentage points</a:t>
          </a:r>
          <a:r>
            <a:rPr lang="en-IN"/>
            <a:t> and </a:t>
          </a:r>
          <a:r>
            <a:rPr lang="en-IN" b="1"/>
            <a:t>4.44 percentage points</a:t>
          </a:r>
          <a:r>
            <a:rPr lang="en-IN"/>
            <a:t> respectively. </a:t>
          </a:r>
        </a:p>
        <a:p>
          <a:r>
            <a:rPr lang="en-IN" b="1"/>
            <a:t>3. Social traffic was the only segment where conversion performance declined</a:t>
          </a:r>
          <a:r>
            <a:rPr lang="en-IN"/>
            <a:t>, decreasing from </a:t>
          </a:r>
          <a:r>
            <a:rPr lang="en-IN" b="1"/>
            <a:t>7.69% to 6.02%</a:t>
          </a:r>
          <a:r>
            <a:rPr lang="en-IN"/>
            <a:t>. This suggests that the new onboarding experience may be less effective for Social-acquired users. </a:t>
          </a:r>
        </a:p>
        <a:p>
          <a:r>
            <a:rPr lang="en-IN" b="1"/>
            <a:t>4. Engagement Scores improved across all major traffic sources</a:t>
          </a:r>
          <a:r>
            <a:rPr lang="en-IN"/>
            <a:t>, with Referral traffic showing the highest engagement level in the Treatment group (</a:t>
          </a:r>
          <a:r>
            <a:rPr lang="en-IN" b="1"/>
            <a:t>64.20</a:t>
          </a:r>
          <a:r>
            <a:rPr lang="en-IN"/>
            <a:t>). </a:t>
          </a:r>
        </a:p>
        <a:p>
          <a:r>
            <a:rPr lang="en-IN" b="1"/>
            <a:t>5. Support Ticket Rates increased across every traffic source</a:t>
          </a:r>
          <a:r>
            <a:rPr lang="en-IN"/>
            <a:t>, particularly for Email and Referral users, indicating that the onboarding changes may create additional support requirements despite stronger conversion performance.</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25400</xdr:colOff>
      <xdr:row>7</xdr:row>
      <xdr:rowOff>152400</xdr:rowOff>
    </xdr:from>
    <xdr:ext cx="5200650" cy="5086905"/>
    <xdr:sp macro="" textlink="">
      <xdr:nvSpPr>
        <xdr:cNvPr id="2" name="TextBox 1">
          <a:extLst>
            <a:ext uri="{FF2B5EF4-FFF2-40B4-BE49-F238E27FC236}">
              <a16:creationId xmlns:a16="http://schemas.microsoft.com/office/drawing/2014/main" id="{B9AA181C-5E03-5C4C-1155-223FB6ACB923}"/>
            </a:ext>
          </a:extLst>
        </xdr:cNvPr>
        <xdr:cNvSpPr txBox="1"/>
      </xdr:nvSpPr>
      <xdr:spPr>
        <a:xfrm>
          <a:off x="25400" y="1441450"/>
          <a:ext cx="5200650" cy="508690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b="1"/>
            <a:t>Guardrail Metric 1: Refund Rate</a:t>
          </a:r>
        </a:p>
        <a:p>
          <a:r>
            <a:rPr lang="en-IN" b="1"/>
            <a:t>Observation:</a:t>
          </a:r>
          <a:endParaRPr lang="en-IN"/>
        </a:p>
        <a:p>
          <a:r>
            <a:rPr lang="en-IN"/>
            <a:t>Increased from 0.00% to 0.42%. </a:t>
          </a:r>
        </a:p>
        <a:p>
          <a:r>
            <a:rPr lang="en-IN" b="1"/>
            <a:t>Assessment:</a:t>
          </a:r>
          <a:endParaRPr lang="en-IN"/>
        </a:p>
        <a:p>
          <a:r>
            <a:rPr lang="en-IN"/>
            <a:t>The increase is very small (only 3 refund requests). </a:t>
          </a:r>
        </a:p>
        <a:p>
          <a:r>
            <a:rPr lang="en-IN"/>
            <a:t>Current refund volume is not large enough to outweigh conversion gains. </a:t>
          </a:r>
        </a:p>
        <a:p>
          <a:r>
            <a:rPr lang="en-IN" b="1"/>
            <a:t>Risk Level:</a:t>
          </a:r>
          <a:r>
            <a:rPr lang="en-IN"/>
            <a:t> Low</a:t>
          </a:r>
        </a:p>
        <a:p>
          <a:br>
            <a:rPr lang="en-IN"/>
          </a:br>
          <a:endParaRPr lang="en-IN"/>
        </a:p>
        <a:p>
          <a:r>
            <a:rPr lang="en-IN" b="1"/>
            <a:t>Guardrail Metric 2: Support Ticket Rate</a:t>
          </a:r>
        </a:p>
        <a:p>
          <a:r>
            <a:rPr lang="en-IN" b="1"/>
            <a:t>Observation:</a:t>
          </a:r>
          <a:endParaRPr lang="en-IN"/>
        </a:p>
        <a:p>
          <a:r>
            <a:rPr lang="en-IN"/>
            <a:t>Increased from 14.72% to 24.76%. </a:t>
          </a:r>
        </a:p>
        <a:p>
          <a:r>
            <a:rPr lang="en-IN" b="1"/>
            <a:t>Assessment:</a:t>
          </a:r>
          <a:endParaRPr lang="en-IN"/>
        </a:p>
        <a:p>
          <a:r>
            <a:rPr lang="en-IN"/>
            <a:t>This is a meaningful increase. </a:t>
          </a:r>
        </a:p>
        <a:p>
          <a:r>
            <a:rPr lang="en-IN"/>
            <a:t>The new onboarding experience may be generating confusion or additional questions. </a:t>
          </a:r>
        </a:p>
        <a:p>
          <a:r>
            <a:rPr lang="en-IN"/>
            <a:t>Customer support workload may increase after rollout. </a:t>
          </a:r>
        </a:p>
        <a:p>
          <a:r>
            <a:rPr lang="en-IN" b="1"/>
            <a:t>Risk Level:</a:t>
          </a:r>
          <a:r>
            <a:rPr lang="en-IN"/>
            <a:t> Medium</a:t>
          </a:r>
        </a:p>
        <a:p>
          <a:br>
            <a:rPr lang="en-IN"/>
          </a:br>
          <a:endParaRPr lang="en-IN"/>
        </a:p>
        <a:p>
          <a:r>
            <a:rPr lang="en-IN" b="1"/>
            <a:t>Guardrail Metric 3: Average Revenue Per Converted User</a:t>
          </a:r>
        </a:p>
        <a:p>
          <a:r>
            <a:rPr lang="en-IN" b="1"/>
            <a:t>Observation:</a:t>
          </a:r>
          <a:endParaRPr lang="en-IN"/>
        </a:p>
        <a:p>
          <a:r>
            <a:rPr lang="en-IN"/>
            <a:t>Decreased from 1630.10 to 770.41. </a:t>
          </a:r>
        </a:p>
        <a:p>
          <a:r>
            <a:rPr lang="en-IN" b="1"/>
            <a:t>Assessment:</a:t>
          </a:r>
          <a:endParaRPr lang="en-IN"/>
        </a:p>
        <a:p>
          <a:r>
            <a:rPr lang="en-IN"/>
            <a:t>The Treatment group converted more users but generated less revenue per converted customer. </a:t>
          </a:r>
        </a:p>
        <a:p>
          <a:r>
            <a:rPr lang="en-IN"/>
            <a:t>This may indicate that more lower-value customers are converting. </a:t>
          </a:r>
        </a:p>
        <a:p>
          <a:r>
            <a:rPr lang="en-IN"/>
            <a:t>Further investigation into plan mix and customer quality is recommended. </a:t>
          </a:r>
        </a:p>
        <a:p>
          <a:r>
            <a:rPr lang="en-IN" b="1"/>
            <a:t>Risk Level:</a:t>
          </a:r>
          <a:r>
            <a:rPr lang="en-IN"/>
            <a:t> High</a:t>
          </a:r>
        </a:p>
        <a:p>
          <a:endParaRPr lang="en-IN" sz="1100"/>
        </a:p>
      </xdr:txBody>
    </xdr:sp>
    <xdr:clientData/>
  </xdr:oneCellAnchor>
  <xdr:oneCellAnchor>
    <xdr:from>
      <xdr:col>7</xdr:col>
      <xdr:colOff>88900</xdr:colOff>
      <xdr:row>7</xdr:row>
      <xdr:rowOff>139700</xdr:rowOff>
    </xdr:from>
    <xdr:ext cx="5480050" cy="1814599"/>
    <xdr:sp macro="" textlink="">
      <xdr:nvSpPr>
        <xdr:cNvPr id="3" name="TextBox 2">
          <a:extLst>
            <a:ext uri="{FF2B5EF4-FFF2-40B4-BE49-F238E27FC236}">
              <a16:creationId xmlns:a16="http://schemas.microsoft.com/office/drawing/2014/main" id="{4B13E661-B64C-CEB9-1F10-AC3E14BE4B93}"/>
            </a:ext>
          </a:extLst>
        </xdr:cNvPr>
        <xdr:cNvSpPr txBox="1"/>
      </xdr:nvSpPr>
      <xdr:spPr>
        <a:xfrm>
          <a:off x="5840186" y="1409700"/>
          <a:ext cx="5480050" cy="1814599"/>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b="1"/>
            <a:t>Overall Guardrail Conclusion</a:t>
          </a:r>
        </a:p>
        <a:p>
          <a:r>
            <a:rPr lang="en-IN"/>
            <a:t>The experiment successfully improved conversion performance; however, three guardrail metrics require monitoring. Support Ticket Rate increased significantly, indicating higher support demand. Average Revenue Per Converted User declined substantially, suggesting a potential reduction in customer value. Refund Rate increased slightly but remains at a very low level. </a:t>
          </a:r>
        </a:p>
        <a:p>
          <a:r>
            <a:rPr lang="en-IN"/>
            <a:t>While the experiment delivered significant improvements in conversion, engagement, and revenue per user, the increase in support demand and decline in revenue per converted user should be monitored closely during rollout. Additional analysis should be conducted to understand customer quality and support drivers.</a:t>
          </a:r>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Ahmed Vastari" refreshedDate="46197.841810069447" createdVersion="8" refreshedVersion="8" minRefreshableVersion="3" recordCount="1408" xr:uid="{E4422CF4-B383-462F-8E2F-F7A34C93BA9C}">
  <cacheSource type="worksheet">
    <worksheetSource ref="A1:Q1409" sheet="Raw_Data"/>
  </cacheSource>
  <cacheFields count="17">
    <cacheField name="user_id" numFmtId="0">
      <sharedItems/>
    </cacheField>
    <cacheField name="signup_date" numFmtId="164">
      <sharedItems containsSemiMixedTypes="0" containsNonDate="0" containsDate="1" containsString="0" minDate="2025-01-01T00:00:00" maxDate="2025-06-01T00:00:00"/>
    </cacheField>
    <cacheField name="experiment_group" numFmtId="0">
      <sharedItems count="2">
        <s v="Control"/>
        <s v="Treatment"/>
      </sharedItems>
    </cacheField>
    <cacheField name="region" numFmtId="0">
      <sharedItems count="4">
        <s v="North"/>
        <s v="West"/>
        <s v="East"/>
        <s v="South"/>
      </sharedItems>
    </cacheField>
    <cacheField name="device_type" numFmtId="0">
      <sharedItems containsBlank="1" count="4">
        <s v="Desktop"/>
        <s v="Mobile"/>
        <s v="Tablet"/>
        <m/>
      </sharedItems>
    </cacheField>
    <cacheField name="traffic_source" numFmtId="0">
      <sharedItems containsBlank="1" count="6">
        <s v="Email"/>
        <s v="Organic"/>
        <s v="Paid Search"/>
        <s v="Referral"/>
        <s v="Social"/>
        <m/>
      </sharedItems>
    </cacheField>
    <cacheField name="plan_type" numFmtId="0">
      <sharedItems/>
    </cacheField>
    <cacheField name="visited_landing_page" numFmtId="0">
      <sharedItems containsSemiMixedTypes="0" containsString="0" containsNumber="1" containsInteger="1" minValue="0" maxValue="1"/>
    </cacheField>
    <cacheField name="started_trial" numFmtId="0">
      <sharedItems containsSemiMixedTypes="0" containsString="0" containsNumber="1" containsInteger="1" minValue="0" maxValue="1"/>
    </cacheField>
    <cacheField name="completed_onboarding" numFmtId="0">
      <sharedItems containsSemiMixedTypes="0" containsString="0" containsNumber="1" containsInteger="1" minValue="0" maxValue="1"/>
    </cacheField>
    <cacheField name="converted_to_paid" numFmtId="0">
      <sharedItems containsSemiMixedTypes="0" containsString="0" containsNumber="1" containsInteger="1" minValue="0" maxValue="1"/>
    </cacheField>
    <cacheField name="revenue_30d" numFmtId="0">
      <sharedItems containsSemiMixedTypes="0" containsString="0" containsNumber="1" minValue="0" maxValue="8610.7199999999993"/>
    </cacheField>
    <cacheField name="support_tickets_30d" numFmtId="0">
      <sharedItems containsSemiMixedTypes="0" containsString="0" containsNumber="1" containsInteger="1" minValue="0" maxValue="4"/>
    </cacheField>
    <cacheField name="Has_Support_Ticket" numFmtId="0">
      <sharedItems containsSemiMixedTypes="0" containsString="0" containsNumber="1" containsInteger="1" minValue="0" maxValue="1"/>
    </cacheField>
    <cacheField name="refund_requested" numFmtId="0">
      <sharedItems containsSemiMixedTypes="0" containsString="0" containsNumber="1" containsInteger="1" minValue="0" maxValue="1"/>
    </cacheField>
    <cacheField name="days_to_convert" numFmtId="0">
      <sharedItems containsString="0" containsBlank="1" containsNumber="1" containsInteger="1" minValue="0" maxValue="17"/>
    </cacheField>
    <cacheField name="engagement_score" numFmtId="0">
      <sharedItems containsString="0" containsBlank="1" containsNumber="1" minValue="6.2"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8">
  <r>
    <s v="USR-100001"/>
    <d v="2025-03-16T00:00:00"/>
    <x v="0"/>
    <x v="0"/>
    <x v="0"/>
    <x v="0"/>
    <s v="Basic"/>
    <n v="0"/>
    <n v="0"/>
    <n v="0"/>
    <n v="0"/>
    <n v="0"/>
    <n v="0"/>
    <n v="0"/>
    <n v="0"/>
    <m/>
    <n v="45.7"/>
  </r>
  <r>
    <s v="USR-100002"/>
    <d v="2025-03-08T00:00:00"/>
    <x v="0"/>
    <x v="1"/>
    <x v="1"/>
    <x v="1"/>
    <s v="Free"/>
    <n v="1"/>
    <n v="0"/>
    <n v="0"/>
    <n v="0"/>
    <n v="0"/>
    <n v="0"/>
    <n v="0"/>
    <n v="0"/>
    <m/>
    <n v="48.6"/>
  </r>
  <r>
    <s v="USR-100003"/>
    <d v="2025-04-24T00:00:00"/>
    <x v="0"/>
    <x v="2"/>
    <x v="1"/>
    <x v="2"/>
    <s v="Premium"/>
    <n v="1"/>
    <n v="0"/>
    <n v="0"/>
    <n v="0"/>
    <n v="0"/>
    <n v="1"/>
    <n v="1"/>
    <n v="0"/>
    <m/>
    <n v="35.4"/>
  </r>
  <r>
    <s v="USR-100004"/>
    <d v="2025-05-04T00:00:00"/>
    <x v="0"/>
    <x v="3"/>
    <x v="1"/>
    <x v="0"/>
    <s v="Basic"/>
    <n v="1"/>
    <n v="0"/>
    <n v="0"/>
    <n v="0"/>
    <n v="0"/>
    <n v="0"/>
    <n v="0"/>
    <n v="0"/>
    <m/>
    <n v="64.599999999999994"/>
  </r>
  <r>
    <s v="USR-100005"/>
    <d v="2025-02-12T00:00:00"/>
    <x v="0"/>
    <x v="0"/>
    <x v="2"/>
    <x v="1"/>
    <s v="Free"/>
    <n v="0"/>
    <n v="0"/>
    <n v="0"/>
    <n v="0"/>
    <n v="0"/>
    <n v="0"/>
    <n v="0"/>
    <n v="0"/>
    <m/>
    <n v="66.599999999999994"/>
  </r>
  <r>
    <s v="USR-100006"/>
    <d v="2025-01-28T00:00:00"/>
    <x v="0"/>
    <x v="2"/>
    <x v="1"/>
    <x v="1"/>
    <s v="Premium"/>
    <n v="1"/>
    <n v="0"/>
    <n v="0"/>
    <n v="0"/>
    <n v="0"/>
    <n v="0"/>
    <n v="0"/>
    <n v="0"/>
    <m/>
    <n v="40.799999999999997"/>
  </r>
  <r>
    <s v="USR-100007"/>
    <d v="2025-04-08T00:00:00"/>
    <x v="0"/>
    <x v="2"/>
    <x v="1"/>
    <x v="2"/>
    <s v="Basic"/>
    <n v="1"/>
    <n v="1"/>
    <n v="0"/>
    <n v="0"/>
    <n v="0"/>
    <n v="0"/>
    <n v="0"/>
    <n v="0"/>
    <m/>
    <n v="57.1"/>
  </r>
  <r>
    <s v="USR-100008"/>
    <d v="2025-05-17T00:00:00"/>
    <x v="0"/>
    <x v="3"/>
    <x v="1"/>
    <x v="2"/>
    <s v="Free"/>
    <n v="0"/>
    <n v="0"/>
    <n v="0"/>
    <n v="0"/>
    <n v="0"/>
    <n v="0"/>
    <n v="0"/>
    <n v="0"/>
    <m/>
    <n v="36.4"/>
  </r>
  <r>
    <s v="USR-100009"/>
    <d v="2025-02-23T00:00:00"/>
    <x v="0"/>
    <x v="3"/>
    <x v="2"/>
    <x v="3"/>
    <s v="Basic"/>
    <n v="0"/>
    <n v="0"/>
    <n v="0"/>
    <n v="0"/>
    <n v="0"/>
    <n v="0"/>
    <n v="0"/>
    <n v="0"/>
    <m/>
    <n v="55.4"/>
  </r>
  <r>
    <s v="USR-100010"/>
    <d v="2025-05-29T00:00:00"/>
    <x v="0"/>
    <x v="1"/>
    <x v="0"/>
    <x v="4"/>
    <s v="Free"/>
    <n v="1"/>
    <n v="0"/>
    <n v="0"/>
    <n v="0"/>
    <n v="0"/>
    <n v="0"/>
    <n v="0"/>
    <n v="0"/>
    <m/>
    <n v="57.3"/>
  </r>
  <r>
    <s v="USR-100011"/>
    <d v="2025-04-30T00:00:00"/>
    <x v="0"/>
    <x v="2"/>
    <x v="1"/>
    <x v="2"/>
    <s v="Basic"/>
    <n v="1"/>
    <n v="1"/>
    <n v="1"/>
    <n v="0"/>
    <n v="0"/>
    <n v="0"/>
    <n v="0"/>
    <n v="0"/>
    <m/>
    <n v="63.6"/>
  </r>
  <r>
    <s v="USR-100012"/>
    <d v="2025-03-16T00:00:00"/>
    <x v="0"/>
    <x v="2"/>
    <x v="1"/>
    <x v="4"/>
    <s v="Premium"/>
    <n v="1"/>
    <n v="1"/>
    <n v="1"/>
    <n v="0"/>
    <n v="0"/>
    <n v="1"/>
    <n v="1"/>
    <n v="0"/>
    <m/>
    <n v="80.400000000000006"/>
  </r>
  <r>
    <s v="USR-100013"/>
    <d v="2025-02-07T00:00:00"/>
    <x v="0"/>
    <x v="3"/>
    <x v="0"/>
    <x v="0"/>
    <s v="Basic"/>
    <n v="1"/>
    <n v="0"/>
    <n v="0"/>
    <n v="0"/>
    <n v="0"/>
    <n v="0"/>
    <n v="0"/>
    <n v="0"/>
    <m/>
    <n v="62.4"/>
  </r>
  <r>
    <s v="USR-100014"/>
    <d v="2025-03-02T00:00:00"/>
    <x v="0"/>
    <x v="1"/>
    <x v="1"/>
    <x v="4"/>
    <s v="Basic"/>
    <n v="1"/>
    <n v="0"/>
    <n v="0"/>
    <n v="0"/>
    <n v="0"/>
    <n v="0"/>
    <n v="0"/>
    <n v="0"/>
    <m/>
    <n v="82.4"/>
  </r>
  <r>
    <s v="USR-100015"/>
    <d v="2025-05-30T00:00:00"/>
    <x v="0"/>
    <x v="3"/>
    <x v="1"/>
    <x v="1"/>
    <s v="Basic"/>
    <n v="0"/>
    <n v="0"/>
    <n v="0"/>
    <n v="0"/>
    <n v="0"/>
    <n v="0"/>
    <n v="0"/>
    <n v="0"/>
    <m/>
    <n v="61.2"/>
  </r>
  <r>
    <s v="USR-100016"/>
    <d v="2025-03-25T00:00:00"/>
    <x v="0"/>
    <x v="3"/>
    <x v="1"/>
    <x v="4"/>
    <s v="Basic"/>
    <n v="1"/>
    <n v="0"/>
    <n v="0"/>
    <n v="0"/>
    <n v="0"/>
    <n v="0"/>
    <n v="0"/>
    <n v="0"/>
    <m/>
    <n v="68.900000000000006"/>
  </r>
  <r>
    <s v="USR-100017"/>
    <d v="2025-03-27T00:00:00"/>
    <x v="0"/>
    <x v="2"/>
    <x v="0"/>
    <x v="2"/>
    <s v="Free"/>
    <n v="1"/>
    <n v="1"/>
    <n v="1"/>
    <n v="0"/>
    <n v="0"/>
    <n v="0"/>
    <n v="0"/>
    <n v="0"/>
    <m/>
    <n v="71.900000000000006"/>
  </r>
  <r>
    <s v="USR-100018"/>
    <d v="2025-05-28T00:00:00"/>
    <x v="0"/>
    <x v="3"/>
    <x v="0"/>
    <x v="2"/>
    <s v="Free"/>
    <n v="0"/>
    <n v="0"/>
    <n v="0"/>
    <n v="0"/>
    <n v="0"/>
    <n v="0"/>
    <n v="0"/>
    <n v="0"/>
    <m/>
    <n v="50.5"/>
  </r>
  <r>
    <s v="USR-100019"/>
    <d v="2025-02-15T00:00:00"/>
    <x v="0"/>
    <x v="0"/>
    <x v="0"/>
    <x v="2"/>
    <s v="Basic"/>
    <n v="0"/>
    <n v="0"/>
    <n v="0"/>
    <n v="0"/>
    <n v="0"/>
    <n v="0"/>
    <n v="0"/>
    <n v="0"/>
    <m/>
    <n v="49.3"/>
  </r>
  <r>
    <s v="USR-100020"/>
    <d v="2025-05-05T00:00:00"/>
    <x v="0"/>
    <x v="1"/>
    <x v="0"/>
    <x v="1"/>
    <s v="Basic"/>
    <n v="0"/>
    <n v="0"/>
    <n v="0"/>
    <n v="0"/>
    <n v="0"/>
    <n v="2"/>
    <n v="1"/>
    <n v="0"/>
    <m/>
    <n v="60.9"/>
  </r>
  <r>
    <s v="USR-100021"/>
    <d v="2025-04-13T00:00:00"/>
    <x v="0"/>
    <x v="2"/>
    <x v="1"/>
    <x v="4"/>
    <s v="Free"/>
    <n v="1"/>
    <n v="0"/>
    <n v="0"/>
    <n v="0"/>
    <n v="0"/>
    <n v="0"/>
    <n v="0"/>
    <n v="0"/>
    <m/>
    <n v="62.7"/>
  </r>
  <r>
    <s v="USR-100022"/>
    <d v="2025-05-07T00:00:00"/>
    <x v="0"/>
    <x v="0"/>
    <x v="0"/>
    <x v="2"/>
    <s v="Free"/>
    <n v="0"/>
    <n v="0"/>
    <n v="0"/>
    <n v="0"/>
    <n v="0"/>
    <n v="0"/>
    <n v="0"/>
    <n v="0"/>
    <m/>
    <n v="52.7"/>
  </r>
  <r>
    <s v="USR-100023"/>
    <d v="2025-05-25T00:00:00"/>
    <x v="0"/>
    <x v="0"/>
    <x v="0"/>
    <x v="1"/>
    <s v="Free"/>
    <n v="0"/>
    <n v="0"/>
    <n v="0"/>
    <n v="0"/>
    <n v="0"/>
    <n v="0"/>
    <n v="0"/>
    <n v="0"/>
    <m/>
    <n v="54"/>
  </r>
  <r>
    <s v="USR-100024"/>
    <d v="2025-04-01T00:00:00"/>
    <x v="0"/>
    <x v="2"/>
    <x v="1"/>
    <x v="2"/>
    <s v="Premium"/>
    <n v="1"/>
    <n v="1"/>
    <n v="0"/>
    <n v="0"/>
    <n v="0"/>
    <n v="0"/>
    <n v="0"/>
    <n v="0"/>
    <m/>
    <n v="51.6"/>
  </r>
  <r>
    <s v="USR-100025"/>
    <d v="2025-02-22T00:00:00"/>
    <x v="0"/>
    <x v="0"/>
    <x v="1"/>
    <x v="2"/>
    <s v="Premium"/>
    <n v="0"/>
    <n v="0"/>
    <n v="0"/>
    <n v="0"/>
    <n v="0"/>
    <n v="2"/>
    <n v="1"/>
    <n v="0"/>
    <m/>
    <n v="66.900000000000006"/>
  </r>
  <r>
    <s v="USR-100026"/>
    <d v="2025-03-24T00:00:00"/>
    <x v="0"/>
    <x v="2"/>
    <x v="1"/>
    <x v="1"/>
    <s v="Basic"/>
    <n v="0"/>
    <n v="0"/>
    <n v="0"/>
    <n v="0"/>
    <n v="0"/>
    <n v="0"/>
    <n v="0"/>
    <n v="0"/>
    <m/>
    <n v="67.400000000000006"/>
  </r>
  <r>
    <s v="USR-100027"/>
    <d v="2025-02-13T00:00:00"/>
    <x v="0"/>
    <x v="0"/>
    <x v="1"/>
    <x v="1"/>
    <s v="Free"/>
    <n v="0"/>
    <n v="0"/>
    <n v="0"/>
    <n v="0"/>
    <n v="0"/>
    <n v="0"/>
    <n v="0"/>
    <n v="0"/>
    <m/>
    <n v="58.8"/>
  </r>
  <r>
    <s v="USR-100028"/>
    <d v="2025-05-30T00:00:00"/>
    <x v="0"/>
    <x v="3"/>
    <x v="1"/>
    <x v="1"/>
    <s v="Free"/>
    <n v="1"/>
    <n v="0"/>
    <n v="0"/>
    <n v="0"/>
    <n v="0"/>
    <n v="0"/>
    <n v="0"/>
    <n v="0"/>
    <m/>
    <n v="73.8"/>
  </r>
  <r>
    <s v="USR-100029"/>
    <d v="2025-01-20T00:00:00"/>
    <x v="0"/>
    <x v="2"/>
    <x v="2"/>
    <x v="1"/>
    <s v="Basic"/>
    <n v="0"/>
    <n v="0"/>
    <n v="0"/>
    <n v="0"/>
    <n v="0"/>
    <n v="0"/>
    <n v="0"/>
    <n v="0"/>
    <m/>
    <n v="60.1"/>
  </r>
  <r>
    <s v="USR-100030"/>
    <d v="2025-05-19T00:00:00"/>
    <x v="0"/>
    <x v="2"/>
    <x v="1"/>
    <x v="4"/>
    <s v="Basic"/>
    <n v="1"/>
    <n v="1"/>
    <n v="1"/>
    <n v="0"/>
    <n v="0"/>
    <n v="0"/>
    <n v="0"/>
    <n v="0"/>
    <m/>
    <n v="41"/>
  </r>
  <r>
    <s v="USR-100031"/>
    <d v="2025-02-18T00:00:00"/>
    <x v="0"/>
    <x v="3"/>
    <x v="1"/>
    <x v="1"/>
    <s v="Basic"/>
    <n v="1"/>
    <n v="0"/>
    <n v="0"/>
    <n v="0"/>
    <n v="0"/>
    <n v="0"/>
    <n v="0"/>
    <n v="0"/>
    <m/>
    <n v="80.3"/>
  </r>
  <r>
    <s v="USR-100032"/>
    <d v="2025-02-13T00:00:00"/>
    <x v="0"/>
    <x v="2"/>
    <x v="1"/>
    <x v="1"/>
    <s v="Free"/>
    <n v="0"/>
    <n v="0"/>
    <n v="0"/>
    <n v="0"/>
    <n v="0"/>
    <n v="0"/>
    <n v="0"/>
    <n v="0"/>
    <m/>
    <n v="67.599999999999994"/>
  </r>
  <r>
    <s v="USR-100033"/>
    <d v="2025-03-08T00:00:00"/>
    <x v="0"/>
    <x v="2"/>
    <x v="0"/>
    <x v="3"/>
    <s v="Premium"/>
    <n v="0"/>
    <n v="0"/>
    <n v="0"/>
    <n v="0"/>
    <n v="0"/>
    <n v="0"/>
    <n v="0"/>
    <n v="0"/>
    <m/>
    <n v="64"/>
  </r>
  <r>
    <s v="USR-100034"/>
    <d v="2025-01-11T00:00:00"/>
    <x v="0"/>
    <x v="0"/>
    <x v="1"/>
    <x v="2"/>
    <s v="Free"/>
    <n v="1"/>
    <n v="1"/>
    <n v="0"/>
    <n v="0"/>
    <n v="0"/>
    <n v="0"/>
    <n v="0"/>
    <n v="0"/>
    <m/>
    <n v="27.2"/>
  </r>
  <r>
    <s v="USR-100035"/>
    <d v="2025-02-12T00:00:00"/>
    <x v="0"/>
    <x v="0"/>
    <x v="0"/>
    <x v="1"/>
    <s v="Free"/>
    <n v="1"/>
    <n v="0"/>
    <n v="0"/>
    <n v="0"/>
    <n v="0"/>
    <n v="0"/>
    <n v="0"/>
    <n v="0"/>
    <m/>
    <n v="85.4"/>
  </r>
  <r>
    <s v="USR-100036"/>
    <d v="2025-04-13T00:00:00"/>
    <x v="0"/>
    <x v="2"/>
    <x v="0"/>
    <x v="1"/>
    <s v="Basic"/>
    <n v="1"/>
    <n v="0"/>
    <n v="0"/>
    <n v="0"/>
    <n v="0"/>
    <n v="0"/>
    <n v="0"/>
    <n v="0"/>
    <m/>
    <n v="75.900000000000006"/>
  </r>
  <r>
    <s v="USR-100037"/>
    <d v="2025-05-09T00:00:00"/>
    <x v="0"/>
    <x v="2"/>
    <x v="1"/>
    <x v="1"/>
    <s v="Premium"/>
    <n v="1"/>
    <n v="0"/>
    <n v="0"/>
    <n v="0"/>
    <n v="0"/>
    <n v="1"/>
    <n v="1"/>
    <n v="0"/>
    <m/>
    <n v="34.799999999999997"/>
  </r>
  <r>
    <s v="USR-100038"/>
    <d v="2025-01-20T00:00:00"/>
    <x v="0"/>
    <x v="2"/>
    <x v="1"/>
    <x v="1"/>
    <s v="Free"/>
    <n v="1"/>
    <n v="1"/>
    <n v="1"/>
    <n v="0"/>
    <n v="0"/>
    <n v="3"/>
    <n v="1"/>
    <n v="0"/>
    <m/>
    <n v="48.9"/>
  </r>
  <r>
    <s v="USR-100039"/>
    <d v="2025-05-13T00:00:00"/>
    <x v="0"/>
    <x v="2"/>
    <x v="1"/>
    <x v="0"/>
    <s v="Premium"/>
    <n v="1"/>
    <n v="0"/>
    <n v="0"/>
    <n v="0"/>
    <n v="0"/>
    <n v="0"/>
    <n v="0"/>
    <n v="0"/>
    <m/>
    <n v="41.5"/>
  </r>
  <r>
    <s v="USR-100040"/>
    <d v="2025-04-07T00:00:00"/>
    <x v="0"/>
    <x v="0"/>
    <x v="0"/>
    <x v="1"/>
    <s v="Basic"/>
    <n v="1"/>
    <n v="0"/>
    <n v="0"/>
    <n v="0"/>
    <n v="0"/>
    <n v="0"/>
    <n v="0"/>
    <n v="0"/>
    <m/>
    <n v="51.5"/>
  </r>
  <r>
    <s v="USR-100041"/>
    <d v="2025-03-31T00:00:00"/>
    <x v="0"/>
    <x v="0"/>
    <x v="0"/>
    <x v="1"/>
    <s v="Free"/>
    <n v="0"/>
    <n v="0"/>
    <n v="0"/>
    <n v="0"/>
    <n v="0"/>
    <n v="0"/>
    <n v="0"/>
    <n v="0"/>
    <m/>
    <n v="53.2"/>
  </r>
  <r>
    <s v="USR-100042"/>
    <d v="2025-01-25T00:00:00"/>
    <x v="0"/>
    <x v="2"/>
    <x v="1"/>
    <x v="0"/>
    <s v="Premium"/>
    <n v="0"/>
    <n v="0"/>
    <n v="0"/>
    <n v="0"/>
    <n v="0"/>
    <n v="0"/>
    <n v="0"/>
    <n v="0"/>
    <m/>
    <n v="55.6"/>
  </r>
  <r>
    <s v="USR-100043"/>
    <d v="2025-02-14T00:00:00"/>
    <x v="0"/>
    <x v="3"/>
    <x v="0"/>
    <x v="1"/>
    <s v="Free"/>
    <n v="0"/>
    <n v="0"/>
    <n v="0"/>
    <n v="0"/>
    <n v="0"/>
    <n v="0"/>
    <n v="0"/>
    <n v="0"/>
    <m/>
    <n v="73"/>
  </r>
  <r>
    <s v="USR-100044"/>
    <d v="2025-02-27T00:00:00"/>
    <x v="0"/>
    <x v="2"/>
    <x v="1"/>
    <x v="0"/>
    <s v="Free"/>
    <n v="1"/>
    <n v="0"/>
    <n v="0"/>
    <n v="0"/>
    <n v="0"/>
    <n v="0"/>
    <n v="0"/>
    <n v="0"/>
    <m/>
    <n v="65"/>
  </r>
  <r>
    <s v="USR-100045"/>
    <d v="2025-03-28T00:00:00"/>
    <x v="0"/>
    <x v="2"/>
    <x v="1"/>
    <x v="4"/>
    <s v="Free"/>
    <n v="1"/>
    <n v="0"/>
    <n v="0"/>
    <n v="0"/>
    <n v="0"/>
    <n v="4"/>
    <n v="1"/>
    <n v="0"/>
    <m/>
    <n v="56.3"/>
  </r>
  <r>
    <s v="USR-100046"/>
    <d v="2025-05-25T00:00:00"/>
    <x v="0"/>
    <x v="2"/>
    <x v="1"/>
    <x v="3"/>
    <s v="Premium"/>
    <n v="1"/>
    <n v="0"/>
    <n v="0"/>
    <n v="0"/>
    <n v="0"/>
    <n v="0"/>
    <n v="0"/>
    <n v="0"/>
    <m/>
    <n v="62.4"/>
  </r>
  <r>
    <s v="USR-100047"/>
    <d v="2025-05-05T00:00:00"/>
    <x v="0"/>
    <x v="1"/>
    <x v="0"/>
    <x v="1"/>
    <s v="Free"/>
    <n v="1"/>
    <n v="1"/>
    <n v="1"/>
    <n v="0"/>
    <n v="0"/>
    <n v="0"/>
    <n v="0"/>
    <n v="0"/>
    <m/>
    <n v="58.1"/>
  </r>
  <r>
    <s v="USR-100048"/>
    <d v="2025-05-16T00:00:00"/>
    <x v="0"/>
    <x v="0"/>
    <x v="1"/>
    <x v="1"/>
    <s v="Free"/>
    <n v="1"/>
    <n v="1"/>
    <n v="1"/>
    <n v="0"/>
    <n v="0"/>
    <n v="0"/>
    <n v="0"/>
    <n v="0"/>
    <m/>
    <n v="80.8"/>
  </r>
  <r>
    <s v="USR-100049"/>
    <d v="2025-01-08T00:00:00"/>
    <x v="0"/>
    <x v="0"/>
    <x v="1"/>
    <x v="4"/>
    <s v="Free"/>
    <n v="1"/>
    <n v="1"/>
    <n v="0"/>
    <n v="0"/>
    <n v="0"/>
    <n v="0"/>
    <n v="0"/>
    <n v="0"/>
    <m/>
    <n v="42.9"/>
  </r>
  <r>
    <s v="USR-100050"/>
    <d v="2025-01-06T00:00:00"/>
    <x v="0"/>
    <x v="1"/>
    <x v="0"/>
    <x v="2"/>
    <s v="Free"/>
    <n v="1"/>
    <n v="0"/>
    <n v="0"/>
    <n v="0"/>
    <n v="0"/>
    <n v="0"/>
    <n v="0"/>
    <n v="0"/>
    <m/>
    <n v="52.7"/>
  </r>
  <r>
    <s v="USR-100051"/>
    <d v="2025-01-12T00:00:00"/>
    <x v="0"/>
    <x v="0"/>
    <x v="1"/>
    <x v="4"/>
    <s v="Basic"/>
    <n v="0"/>
    <n v="0"/>
    <n v="0"/>
    <n v="0"/>
    <n v="0"/>
    <n v="0"/>
    <n v="0"/>
    <n v="0"/>
    <m/>
    <n v="46.9"/>
  </r>
  <r>
    <s v="USR-100052"/>
    <d v="2025-02-14T00:00:00"/>
    <x v="0"/>
    <x v="2"/>
    <x v="0"/>
    <x v="0"/>
    <s v="Premium"/>
    <n v="1"/>
    <n v="0"/>
    <n v="0"/>
    <n v="0"/>
    <n v="0"/>
    <n v="0"/>
    <n v="0"/>
    <n v="0"/>
    <m/>
    <n v="63"/>
  </r>
  <r>
    <s v="USR-100053"/>
    <d v="2025-03-10T00:00:00"/>
    <x v="0"/>
    <x v="3"/>
    <x v="2"/>
    <x v="1"/>
    <s v="Free"/>
    <n v="0"/>
    <n v="0"/>
    <n v="0"/>
    <n v="0"/>
    <n v="0"/>
    <n v="0"/>
    <n v="0"/>
    <n v="0"/>
    <m/>
    <n v="53.6"/>
  </r>
  <r>
    <s v="USR-100054"/>
    <d v="2025-04-20T00:00:00"/>
    <x v="0"/>
    <x v="1"/>
    <x v="0"/>
    <x v="1"/>
    <s v="Basic"/>
    <n v="0"/>
    <n v="0"/>
    <n v="0"/>
    <n v="0"/>
    <n v="0"/>
    <n v="0"/>
    <n v="0"/>
    <n v="0"/>
    <m/>
    <n v="49.6"/>
  </r>
  <r>
    <s v="USR-100055"/>
    <d v="2025-02-19T00:00:00"/>
    <x v="0"/>
    <x v="3"/>
    <x v="1"/>
    <x v="1"/>
    <s v="Free"/>
    <n v="0"/>
    <n v="0"/>
    <n v="0"/>
    <n v="0"/>
    <n v="0"/>
    <n v="0"/>
    <n v="0"/>
    <n v="0"/>
    <m/>
    <n v="54"/>
  </r>
  <r>
    <s v="USR-100056"/>
    <d v="2025-05-17T00:00:00"/>
    <x v="0"/>
    <x v="3"/>
    <x v="1"/>
    <x v="4"/>
    <s v="Basic"/>
    <n v="1"/>
    <n v="0"/>
    <n v="0"/>
    <n v="0"/>
    <n v="0"/>
    <n v="2"/>
    <n v="1"/>
    <n v="0"/>
    <m/>
    <n v="50"/>
  </r>
  <r>
    <s v="USR-100057"/>
    <d v="2025-04-01T00:00:00"/>
    <x v="0"/>
    <x v="2"/>
    <x v="1"/>
    <x v="4"/>
    <s v="Basic"/>
    <n v="0"/>
    <n v="0"/>
    <n v="0"/>
    <n v="0"/>
    <n v="0"/>
    <n v="0"/>
    <n v="0"/>
    <n v="0"/>
    <m/>
    <n v="48.1"/>
  </r>
  <r>
    <s v="USR-100058"/>
    <d v="2025-02-04T00:00:00"/>
    <x v="0"/>
    <x v="0"/>
    <x v="0"/>
    <x v="1"/>
    <s v="Free"/>
    <n v="1"/>
    <n v="0"/>
    <n v="0"/>
    <n v="0"/>
    <n v="0"/>
    <n v="0"/>
    <n v="0"/>
    <n v="0"/>
    <m/>
    <n v="49.6"/>
  </r>
  <r>
    <s v="USR-100059"/>
    <d v="2025-04-14T00:00:00"/>
    <x v="0"/>
    <x v="0"/>
    <x v="1"/>
    <x v="4"/>
    <s v="Free"/>
    <n v="0"/>
    <n v="0"/>
    <n v="0"/>
    <n v="0"/>
    <n v="0"/>
    <n v="2"/>
    <n v="1"/>
    <n v="0"/>
    <m/>
    <n v="48.9"/>
  </r>
  <r>
    <s v="USR-100060"/>
    <d v="2025-01-01T00:00:00"/>
    <x v="0"/>
    <x v="1"/>
    <x v="1"/>
    <x v="4"/>
    <s v="Free"/>
    <n v="1"/>
    <n v="1"/>
    <n v="1"/>
    <n v="1"/>
    <n v="240.42"/>
    <n v="0"/>
    <n v="0"/>
    <n v="0"/>
    <n v="16"/>
    <n v="56.5"/>
  </r>
  <r>
    <s v="USR-100061"/>
    <d v="2025-04-02T00:00:00"/>
    <x v="0"/>
    <x v="3"/>
    <x v="1"/>
    <x v="3"/>
    <s v="Free"/>
    <n v="1"/>
    <n v="0"/>
    <n v="0"/>
    <n v="0"/>
    <n v="0"/>
    <n v="0"/>
    <n v="0"/>
    <n v="0"/>
    <m/>
    <n v="53.7"/>
  </r>
  <r>
    <s v="USR-100062"/>
    <d v="2025-03-29T00:00:00"/>
    <x v="0"/>
    <x v="0"/>
    <x v="1"/>
    <x v="4"/>
    <s v="Premium"/>
    <n v="0"/>
    <n v="0"/>
    <n v="0"/>
    <n v="0"/>
    <n v="0"/>
    <n v="0"/>
    <n v="0"/>
    <n v="0"/>
    <m/>
    <n v="62.2"/>
  </r>
  <r>
    <s v="USR-100063"/>
    <d v="2025-05-15T00:00:00"/>
    <x v="0"/>
    <x v="3"/>
    <x v="0"/>
    <x v="1"/>
    <s v="Free"/>
    <n v="1"/>
    <n v="0"/>
    <n v="0"/>
    <n v="0"/>
    <n v="0"/>
    <n v="0"/>
    <n v="0"/>
    <n v="0"/>
    <m/>
    <n v="50.2"/>
  </r>
  <r>
    <s v="USR-100064"/>
    <d v="2025-04-11T00:00:00"/>
    <x v="0"/>
    <x v="0"/>
    <x v="1"/>
    <x v="1"/>
    <s v="Basic"/>
    <n v="1"/>
    <n v="0"/>
    <n v="0"/>
    <n v="0"/>
    <n v="0"/>
    <n v="0"/>
    <n v="0"/>
    <n v="0"/>
    <m/>
    <n v="74.3"/>
  </r>
  <r>
    <s v="USR-100065"/>
    <d v="2025-03-07T00:00:00"/>
    <x v="0"/>
    <x v="3"/>
    <x v="0"/>
    <x v="2"/>
    <s v="Free"/>
    <n v="1"/>
    <n v="0"/>
    <n v="0"/>
    <n v="0"/>
    <n v="0"/>
    <n v="0"/>
    <n v="0"/>
    <n v="0"/>
    <m/>
    <n v="58"/>
  </r>
  <r>
    <s v="USR-100066"/>
    <d v="2025-05-30T00:00:00"/>
    <x v="0"/>
    <x v="3"/>
    <x v="1"/>
    <x v="1"/>
    <s v="Free"/>
    <n v="0"/>
    <n v="0"/>
    <n v="0"/>
    <n v="0"/>
    <n v="0"/>
    <n v="0"/>
    <n v="0"/>
    <n v="0"/>
    <m/>
    <n v="46.7"/>
  </r>
  <r>
    <s v="USR-100067"/>
    <d v="2025-01-07T00:00:00"/>
    <x v="0"/>
    <x v="3"/>
    <x v="0"/>
    <x v="1"/>
    <s v="Premium"/>
    <n v="1"/>
    <n v="0"/>
    <n v="0"/>
    <n v="0"/>
    <n v="0"/>
    <n v="1"/>
    <n v="1"/>
    <n v="0"/>
    <m/>
    <n v="49.6"/>
  </r>
  <r>
    <s v="USR-100068"/>
    <d v="2025-05-08T00:00:00"/>
    <x v="0"/>
    <x v="1"/>
    <x v="1"/>
    <x v="4"/>
    <s v="Free"/>
    <n v="0"/>
    <n v="0"/>
    <n v="0"/>
    <n v="0"/>
    <n v="0"/>
    <n v="0"/>
    <n v="0"/>
    <n v="0"/>
    <m/>
    <n v="60.4"/>
  </r>
  <r>
    <s v="USR-100069"/>
    <d v="2025-03-19T00:00:00"/>
    <x v="0"/>
    <x v="2"/>
    <x v="0"/>
    <x v="0"/>
    <s v="Free"/>
    <n v="1"/>
    <n v="1"/>
    <n v="1"/>
    <n v="0"/>
    <n v="0"/>
    <n v="0"/>
    <n v="0"/>
    <n v="0"/>
    <m/>
    <n v="55.3"/>
  </r>
  <r>
    <s v="USR-100070"/>
    <d v="2025-05-16T00:00:00"/>
    <x v="0"/>
    <x v="0"/>
    <x v="0"/>
    <x v="1"/>
    <s v="Free"/>
    <n v="0"/>
    <n v="0"/>
    <n v="0"/>
    <n v="0"/>
    <n v="0"/>
    <n v="0"/>
    <n v="0"/>
    <n v="0"/>
    <m/>
    <n v="56.2"/>
  </r>
  <r>
    <s v="USR-100071"/>
    <d v="2025-03-08T00:00:00"/>
    <x v="0"/>
    <x v="1"/>
    <x v="1"/>
    <x v="0"/>
    <s v="Free"/>
    <n v="0"/>
    <n v="0"/>
    <n v="0"/>
    <n v="0"/>
    <n v="0"/>
    <n v="0"/>
    <n v="0"/>
    <n v="0"/>
    <m/>
    <n v="29.4"/>
  </r>
  <r>
    <s v="USR-100072"/>
    <d v="2025-03-08T00:00:00"/>
    <x v="0"/>
    <x v="2"/>
    <x v="1"/>
    <x v="0"/>
    <s v="Free"/>
    <n v="1"/>
    <n v="0"/>
    <n v="0"/>
    <n v="0"/>
    <n v="0"/>
    <n v="0"/>
    <n v="0"/>
    <n v="0"/>
    <m/>
    <n v="54.2"/>
  </r>
  <r>
    <s v="USR-100073"/>
    <d v="2025-01-14T00:00:00"/>
    <x v="0"/>
    <x v="2"/>
    <x v="0"/>
    <x v="2"/>
    <s v="Basic"/>
    <n v="0"/>
    <n v="0"/>
    <n v="0"/>
    <n v="0"/>
    <n v="0"/>
    <n v="0"/>
    <n v="0"/>
    <n v="0"/>
    <m/>
    <n v="46.4"/>
  </r>
  <r>
    <s v="USR-100074"/>
    <d v="2025-02-10T00:00:00"/>
    <x v="0"/>
    <x v="3"/>
    <x v="1"/>
    <x v="2"/>
    <s v="Basic"/>
    <n v="0"/>
    <n v="0"/>
    <n v="0"/>
    <n v="0"/>
    <n v="0"/>
    <n v="0"/>
    <n v="0"/>
    <n v="0"/>
    <m/>
    <n v="54.5"/>
  </r>
  <r>
    <s v="USR-100075"/>
    <d v="2025-03-17T00:00:00"/>
    <x v="0"/>
    <x v="0"/>
    <x v="1"/>
    <x v="1"/>
    <s v="Free"/>
    <n v="0"/>
    <n v="0"/>
    <n v="0"/>
    <n v="0"/>
    <n v="0"/>
    <n v="0"/>
    <n v="0"/>
    <n v="0"/>
    <m/>
    <n v="58.5"/>
  </r>
  <r>
    <s v="USR-100076"/>
    <d v="2025-01-09T00:00:00"/>
    <x v="0"/>
    <x v="3"/>
    <x v="1"/>
    <x v="0"/>
    <s v="Free"/>
    <n v="0"/>
    <n v="0"/>
    <n v="0"/>
    <n v="0"/>
    <n v="0"/>
    <n v="0"/>
    <n v="0"/>
    <n v="0"/>
    <m/>
    <n v="75.900000000000006"/>
  </r>
  <r>
    <s v="USR-100077"/>
    <d v="2025-04-17T00:00:00"/>
    <x v="0"/>
    <x v="0"/>
    <x v="1"/>
    <x v="3"/>
    <s v="Free"/>
    <n v="0"/>
    <n v="0"/>
    <n v="0"/>
    <n v="0"/>
    <n v="0"/>
    <n v="1"/>
    <n v="1"/>
    <n v="0"/>
    <m/>
    <n v="84.9"/>
  </r>
  <r>
    <s v="USR-100078"/>
    <d v="2025-01-16T00:00:00"/>
    <x v="0"/>
    <x v="0"/>
    <x v="1"/>
    <x v="1"/>
    <s v="Free"/>
    <n v="0"/>
    <n v="0"/>
    <n v="0"/>
    <n v="0"/>
    <n v="0"/>
    <n v="2"/>
    <n v="1"/>
    <n v="0"/>
    <m/>
    <n v="48.4"/>
  </r>
  <r>
    <s v="USR-100079"/>
    <d v="2025-02-20T00:00:00"/>
    <x v="0"/>
    <x v="1"/>
    <x v="0"/>
    <x v="1"/>
    <s v="Free"/>
    <n v="1"/>
    <n v="1"/>
    <n v="1"/>
    <n v="1"/>
    <n v="457.51"/>
    <n v="0"/>
    <n v="0"/>
    <n v="0"/>
    <n v="7"/>
    <n v="38"/>
  </r>
  <r>
    <s v="USR-100080"/>
    <d v="2025-05-21T00:00:00"/>
    <x v="0"/>
    <x v="2"/>
    <x v="1"/>
    <x v="4"/>
    <s v="Free"/>
    <n v="1"/>
    <n v="0"/>
    <n v="0"/>
    <n v="0"/>
    <n v="0"/>
    <n v="0"/>
    <n v="0"/>
    <n v="0"/>
    <m/>
    <n v="44.2"/>
  </r>
  <r>
    <s v="USR-100081"/>
    <d v="2025-05-08T00:00:00"/>
    <x v="0"/>
    <x v="3"/>
    <x v="1"/>
    <x v="1"/>
    <s v="Free"/>
    <n v="1"/>
    <n v="1"/>
    <n v="1"/>
    <n v="0"/>
    <n v="0"/>
    <n v="0"/>
    <n v="0"/>
    <n v="0"/>
    <m/>
    <n v="81.2"/>
  </r>
  <r>
    <s v="USR-100082"/>
    <d v="2025-03-08T00:00:00"/>
    <x v="0"/>
    <x v="3"/>
    <x v="1"/>
    <x v="3"/>
    <s v="Free"/>
    <n v="1"/>
    <n v="1"/>
    <n v="0"/>
    <n v="0"/>
    <n v="0"/>
    <n v="0"/>
    <n v="0"/>
    <n v="0"/>
    <m/>
    <n v="63.8"/>
  </r>
  <r>
    <s v="USR-100083"/>
    <d v="2025-04-01T00:00:00"/>
    <x v="0"/>
    <x v="3"/>
    <x v="0"/>
    <x v="0"/>
    <s v="Free"/>
    <n v="0"/>
    <n v="0"/>
    <n v="0"/>
    <n v="0"/>
    <n v="0"/>
    <n v="0"/>
    <n v="0"/>
    <n v="0"/>
    <m/>
    <n v="64.7"/>
  </r>
  <r>
    <s v="USR-100084"/>
    <d v="2025-03-03T00:00:00"/>
    <x v="0"/>
    <x v="1"/>
    <x v="1"/>
    <x v="4"/>
    <s v="Basic"/>
    <n v="0"/>
    <n v="0"/>
    <n v="0"/>
    <n v="0"/>
    <n v="0"/>
    <n v="0"/>
    <n v="0"/>
    <n v="0"/>
    <m/>
    <n v="60.4"/>
  </r>
  <r>
    <s v="USR-100085"/>
    <d v="2025-04-16T00:00:00"/>
    <x v="0"/>
    <x v="3"/>
    <x v="1"/>
    <x v="2"/>
    <s v="Free"/>
    <n v="0"/>
    <n v="0"/>
    <n v="0"/>
    <n v="0"/>
    <n v="0"/>
    <n v="0"/>
    <n v="0"/>
    <n v="0"/>
    <m/>
    <n v="66.599999999999994"/>
  </r>
  <r>
    <s v="USR-100086"/>
    <d v="2025-01-09T00:00:00"/>
    <x v="0"/>
    <x v="0"/>
    <x v="0"/>
    <x v="1"/>
    <s v="Free"/>
    <n v="1"/>
    <n v="0"/>
    <n v="0"/>
    <n v="0"/>
    <n v="0"/>
    <n v="0"/>
    <n v="0"/>
    <n v="0"/>
    <m/>
    <n v="50.9"/>
  </r>
  <r>
    <s v="USR-100087"/>
    <d v="2025-01-22T00:00:00"/>
    <x v="0"/>
    <x v="1"/>
    <x v="0"/>
    <x v="4"/>
    <s v="Basic"/>
    <n v="0"/>
    <n v="0"/>
    <n v="0"/>
    <n v="0"/>
    <n v="0"/>
    <n v="0"/>
    <n v="0"/>
    <n v="0"/>
    <m/>
    <n v="51"/>
  </r>
  <r>
    <s v="USR-100088"/>
    <d v="2025-04-30T00:00:00"/>
    <x v="0"/>
    <x v="3"/>
    <x v="1"/>
    <x v="0"/>
    <s v="Premium"/>
    <n v="0"/>
    <n v="0"/>
    <n v="0"/>
    <n v="0"/>
    <n v="0"/>
    <n v="0"/>
    <n v="0"/>
    <n v="0"/>
    <m/>
    <n v="65.8"/>
  </r>
  <r>
    <s v="USR-100089"/>
    <d v="2025-04-25T00:00:00"/>
    <x v="0"/>
    <x v="0"/>
    <x v="1"/>
    <x v="3"/>
    <s v="Basic"/>
    <n v="1"/>
    <n v="0"/>
    <n v="0"/>
    <n v="0"/>
    <n v="0"/>
    <n v="0"/>
    <n v="0"/>
    <n v="0"/>
    <m/>
    <n v="61.8"/>
  </r>
  <r>
    <s v="USR-100090"/>
    <d v="2025-02-01T00:00:00"/>
    <x v="0"/>
    <x v="0"/>
    <x v="1"/>
    <x v="1"/>
    <s v="Basic"/>
    <n v="1"/>
    <n v="0"/>
    <n v="0"/>
    <n v="0"/>
    <n v="0"/>
    <n v="0"/>
    <n v="0"/>
    <n v="0"/>
    <m/>
    <n v="54.5"/>
  </r>
  <r>
    <s v="USR-100091"/>
    <d v="2025-04-23T00:00:00"/>
    <x v="0"/>
    <x v="3"/>
    <x v="0"/>
    <x v="1"/>
    <s v="Free"/>
    <n v="1"/>
    <n v="0"/>
    <n v="0"/>
    <n v="0"/>
    <n v="0"/>
    <n v="0"/>
    <n v="0"/>
    <n v="0"/>
    <m/>
    <n v="72.2"/>
  </r>
  <r>
    <s v="USR-100092"/>
    <d v="2025-02-27T00:00:00"/>
    <x v="0"/>
    <x v="3"/>
    <x v="1"/>
    <x v="4"/>
    <s v="Free"/>
    <n v="1"/>
    <n v="0"/>
    <n v="0"/>
    <n v="0"/>
    <n v="0"/>
    <n v="0"/>
    <n v="0"/>
    <n v="0"/>
    <m/>
    <n v="42.3"/>
  </r>
  <r>
    <s v="USR-100093"/>
    <d v="2025-04-09T00:00:00"/>
    <x v="0"/>
    <x v="2"/>
    <x v="0"/>
    <x v="1"/>
    <s v="Basic"/>
    <n v="1"/>
    <n v="0"/>
    <n v="0"/>
    <n v="0"/>
    <n v="0"/>
    <n v="0"/>
    <n v="0"/>
    <n v="0"/>
    <m/>
    <n v="76.2"/>
  </r>
  <r>
    <s v="USR-100094"/>
    <d v="2025-05-13T00:00:00"/>
    <x v="0"/>
    <x v="3"/>
    <x v="2"/>
    <x v="1"/>
    <s v="Premium"/>
    <n v="1"/>
    <n v="1"/>
    <n v="1"/>
    <n v="0"/>
    <n v="0"/>
    <n v="1"/>
    <n v="1"/>
    <n v="0"/>
    <m/>
    <n v="37.4"/>
  </r>
  <r>
    <s v="USR-100095"/>
    <d v="2025-04-13T00:00:00"/>
    <x v="0"/>
    <x v="2"/>
    <x v="1"/>
    <x v="1"/>
    <s v="Free"/>
    <n v="0"/>
    <n v="0"/>
    <n v="0"/>
    <n v="0"/>
    <n v="0"/>
    <n v="0"/>
    <n v="0"/>
    <n v="0"/>
    <m/>
    <n v="84.2"/>
  </r>
  <r>
    <s v="USR-100096"/>
    <d v="2025-02-05T00:00:00"/>
    <x v="0"/>
    <x v="2"/>
    <x v="1"/>
    <x v="4"/>
    <s v="Free"/>
    <n v="0"/>
    <n v="0"/>
    <n v="0"/>
    <n v="0"/>
    <n v="0"/>
    <n v="0"/>
    <n v="0"/>
    <n v="0"/>
    <m/>
    <n v="68"/>
  </r>
  <r>
    <s v="USR-100097"/>
    <d v="2025-02-14T00:00:00"/>
    <x v="0"/>
    <x v="1"/>
    <x v="1"/>
    <x v="1"/>
    <s v="Basic"/>
    <n v="1"/>
    <n v="0"/>
    <n v="0"/>
    <n v="0"/>
    <n v="0"/>
    <n v="0"/>
    <n v="0"/>
    <n v="0"/>
    <m/>
    <n v="53.5"/>
  </r>
  <r>
    <s v="USR-100098"/>
    <d v="2025-02-11T00:00:00"/>
    <x v="0"/>
    <x v="0"/>
    <x v="0"/>
    <x v="1"/>
    <s v="Premium"/>
    <n v="1"/>
    <n v="0"/>
    <n v="0"/>
    <n v="0"/>
    <n v="0"/>
    <n v="0"/>
    <n v="0"/>
    <n v="0"/>
    <m/>
    <n v="63.2"/>
  </r>
  <r>
    <s v="USR-100099"/>
    <d v="2025-02-11T00:00:00"/>
    <x v="0"/>
    <x v="2"/>
    <x v="0"/>
    <x v="4"/>
    <s v="Free"/>
    <n v="1"/>
    <n v="1"/>
    <n v="1"/>
    <n v="1"/>
    <n v="363.32"/>
    <n v="0"/>
    <n v="0"/>
    <n v="0"/>
    <n v="9"/>
    <n v="55.9"/>
  </r>
  <r>
    <s v="USR-100100"/>
    <d v="2025-05-26T00:00:00"/>
    <x v="0"/>
    <x v="0"/>
    <x v="1"/>
    <x v="1"/>
    <s v="Free"/>
    <n v="1"/>
    <n v="0"/>
    <n v="0"/>
    <n v="0"/>
    <n v="0"/>
    <n v="0"/>
    <n v="0"/>
    <n v="0"/>
    <m/>
    <n v="63.5"/>
  </r>
  <r>
    <s v="USR-100101"/>
    <d v="2025-03-22T00:00:00"/>
    <x v="0"/>
    <x v="0"/>
    <x v="1"/>
    <x v="2"/>
    <s v="Basic"/>
    <n v="1"/>
    <n v="0"/>
    <n v="0"/>
    <n v="0"/>
    <n v="0"/>
    <n v="0"/>
    <n v="0"/>
    <n v="0"/>
    <m/>
    <n v="51.5"/>
  </r>
  <r>
    <s v="USR-100102"/>
    <d v="2025-04-08T00:00:00"/>
    <x v="0"/>
    <x v="1"/>
    <x v="1"/>
    <x v="2"/>
    <s v="Free"/>
    <n v="1"/>
    <n v="0"/>
    <n v="0"/>
    <n v="0"/>
    <n v="0"/>
    <n v="0"/>
    <n v="0"/>
    <n v="0"/>
    <m/>
    <n v="74.400000000000006"/>
  </r>
  <r>
    <s v="USR-100103"/>
    <d v="2025-04-14T00:00:00"/>
    <x v="0"/>
    <x v="0"/>
    <x v="0"/>
    <x v="4"/>
    <s v="Free"/>
    <n v="1"/>
    <n v="1"/>
    <n v="1"/>
    <n v="1"/>
    <n v="3887.98"/>
    <n v="0"/>
    <n v="0"/>
    <n v="0"/>
    <n v="13"/>
    <n v="60.2"/>
  </r>
  <r>
    <s v="USR-100104"/>
    <d v="2025-03-27T00:00:00"/>
    <x v="0"/>
    <x v="3"/>
    <x v="1"/>
    <x v="0"/>
    <s v="Free"/>
    <n v="1"/>
    <n v="0"/>
    <n v="0"/>
    <n v="0"/>
    <n v="0"/>
    <n v="1"/>
    <n v="1"/>
    <n v="0"/>
    <m/>
    <n v="67.2"/>
  </r>
  <r>
    <s v="USR-100105"/>
    <d v="2025-01-05T00:00:00"/>
    <x v="0"/>
    <x v="3"/>
    <x v="1"/>
    <x v="4"/>
    <s v="Free"/>
    <n v="1"/>
    <n v="1"/>
    <n v="1"/>
    <n v="0"/>
    <n v="0"/>
    <n v="0"/>
    <n v="0"/>
    <n v="0"/>
    <m/>
    <n v="79.599999999999994"/>
  </r>
  <r>
    <s v="USR-100106"/>
    <d v="2025-01-25T00:00:00"/>
    <x v="0"/>
    <x v="3"/>
    <x v="1"/>
    <x v="4"/>
    <s v="Basic"/>
    <n v="1"/>
    <n v="1"/>
    <n v="1"/>
    <n v="1"/>
    <n v="8610.7199999999993"/>
    <n v="0"/>
    <n v="0"/>
    <n v="0"/>
    <n v="6"/>
    <n v="61"/>
  </r>
  <r>
    <s v="USR-100107"/>
    <d v="2025-01-23T00:00:00"/>
    <x v="0"/>
    <x v="1"/>
    <x v="1"/>
    <x v="0"/>
    <s v="Free"/>
    <n v="1"/>
    <n v="1"/>
    <n v="1"/>
    <n v="0"/>
    <n v="0"/>
    <n v="4"/>
    <n v="1"/>
    <n v="0"/>
    <m/>
    <n v="51.1"/>
  </r>
  <r>
    <s v="USR-100108"/>
    <d v="2025-05-25T00:00:00"/>
    <x v="0"/>
    <x v="2"/>
    <x v="0"/>
    <x v="3"/>
    <s v="Free"/>
    <n v="1"/>
    <n v="0"/>
    <n v="0"/>
    <n v="0"/>
    <n v="0"/>
    <n v="0"/>
    <n v="0"/>
    <n v="0"/>
    <m/>
    <n v="92.1"/>
  </r>
  <r>
    <s v="USR-100109"/>
    <d v="2025-03-22T00:00:00"/>
    <x v="0"/>
    <x v="3"/>
    <x v="1"/>
    <x v="3"/>
    <s v="Basic"/>
    <n v="0"/>
    <n v="0"/>
    <n v="0"/>
    <n v="0"/>
    <n v="0"/>
    <n v="0"/>
    <n v="0"/>
    <n v="0"/>
    <m/>
    <n v="82.1"/>
  </r>
  <r>
    <s v="USR-100110"/>
    <d v="2025-02-12T00:00:00"/>
    <x v="0"/>
    <x v="1"/>
    <x v="0"/>
    <x v="2"/>
    <s v="Basic"/>
    <n v="1"/>
    <n v="0"/>
    <n v="0"/>
    <n v="0"/>
    <n v="0"/>
    <n v="1"/>
    <n v="1"/>
    <n v="0"/>
    <m/>
    <n v="74"/>
  </r>
  <r>
    <s v="USR-100111"/>
    <d v="2025-04-28T00:00:00"/>
    <x v="0"/>
    <x v="1"/>
    <x v="0"/>
    <x v="1"/>
    <s v="Basic"/>
    <n v="1"/>
    <n v="0"/>
    <n v="0"/>
    <n v="0"/>
    <n v="0"/>
    <n v="0"/>
    <n v="0"/>
    <n v="0"/>
    <m/>
    <n v="63.4"/>
  </r>
  <r>
    <s v="USR-100112"/>
    <d v="2025-01-30T00:00:00"/>
    <x v="0"/>
    <x v="0"/>
    <x v="1"/>
    <x v="1"/>
    <s v="Basic"/>
    <n v="1"/>
    <n v="0"/>
    <n v="0"/>
    <n v="0"/>
    <n v="0"/>
    <n v="0"/>
    <n v="0"/>
    <n v="0"/>
    <m/>
    <n v="53.2"/>
  </r>
  <r>
    <s v="USR-100113"/>
    <d v="2025-05-19T00:00:00"/>
    <x v="0"/>
    <x v="2"/>
    <x v="2"/>
    <x v="2"/>
    <s v="Free"/>
    <n v="0"/>
    <n v="0"/>
    <n v="0"/>
    <n v="0"/>
    <n v="0"/>
    <n v="0"/>
    <n v="0"/>
    <n v="0"/>
    <m/>
    <n v="48.1"/>
  </r>
  <r>
    <s v="USR-100114"/>
    <d v="2025-01-23T00:00:00"/>
    <x v="0"/>
    <x v="3"/>
    <x v="1"/>
    <x v="4"/>
    <s v="Free"/>
    <n v="1"/>
    <n v="1"/>
    <n v="0"/>
    <n v="0"/>
    <n v="0"/>
    <n v="0"/>
    <n v="0"/>
    <n v="0"/>
    <m/>
    <n v="61.5"/>
  </r>
  <r>
    <s v="USR-100115"/>
    <d v="2025-03-28T00:00:00"/>
    <x v="0"/>
    <x v="2"/>
    <x v="0"/>
    <x v="4"/>
    <s v="Free"/>
    <n v="1"/>
    <n v="0"/>
    <n v="0"/>
    <n v="0"/>
    <n v="0"/>
    <n v="0"/>
    <n v="0"/>
    <n v="0"/>
    <m/>
    <n v="63.2"/>
  </r>
  <r>
    <s v="USR-100116"/>
    <d v="2025-01-11T00:00:00"/>
    <x v="0"/>
    <x v="1"/>
    <x v="1"/>
    <x v="1"/>
    <s v="Free"/>
    <n v="0"/>
    <n v="0"/>
    <n v="0"/>
    <n v="0"/>
    <n v="0"/>
    <n v="0"/>
    <n v="0"/>
    <n v="0"/>
    <m/>
    <n v="71.900000000000006"/>
  </r>
  <r>
    <s v="USR-100117"/>
    <d v="2025-04-11T00:00:00"/>
    <x v="0"/>
    <x v="0"/>
    <x v="1"/>
    <x v="3"/>
    <s v="Free"/>
    <n v="0"/>
    <n v="0"/>
    <n v="0"/>
    <n v="0"/>
    <n v="0"/>
    <n v="0"/>
    <n v="0"/>
    <n v="0"/>
    <m/>
    <n v="62.7"/>
  </r>
  <r>
    <s v="USR-100118"/>
    <d v="2025-01-02T00:00:00"/>
    <x v="0"/>
    <x v="1"/>
    <x v="1"/>
    <x v="2"/>
    <s v="Free"/>
    <n v="1"/>
    <n v="0"/>
    <n v="0"/>
    <n v="0"/>
    <n v="0"/>
    <n v="0"/>
    <n v="0"/>
    <n v="0"/>
    <m/>
    <n v="51.5"/>
  </r>
  <r>
    <s v="USR-100119"/>
    <d v="2025-03-18T00:00:00"/>
    <x v="0"/>
    <x v="2"/>
    <x v="1"/>
    <x v="4"/>
    <s v="Free"/>
    <n v="1"/>
    <n v="1"/>
    <n v="1"/>
    <n v="0"/>
    <n v="0"/>
    <n v="0"/>
    <n v="0"/>
    <n v="0"/>
    <m/>
    <n v="39.1"/>
  </r>
  <r>
    <s v="USR-100120"/>
    <d v="2025-03-31T00:00:00"/>
    <x v="0"/>
    <x v="0"/>
    <x v="1"/>
    <x v="0"/>
    <s v="Free"/>
    <n v="1"/>
    <n v="0"/>
    <n v="0"/>
    <n v="0"/>
    <n v="0"/>
    <n v="0"/>
    <n v="0"/>
    <n v="0"/>
    <m/>
    <n v="43.8"/>
  </r>
  <r>
    <s v="USR-100121"/>
    <d v="2025-01-06T00:00:00"/>
    <x v="0"/>
    <x v="0"/>
    <x v="1"/>
    <x v="2"/>
    <s v="Basic"/>
    <n v="1"/>
    <n v="0"/>
    <n v="0"/>
    <n v="0"/>
    <n v="0"/>
    <n v="0"/>
    <n v="0"/>
    <n v="0"/>
    <m/>
    <n v="59.9"/>
  </r>
  <r>
    <s v="USR-100122"/>
    <d v="2025-01-26T00:00:00"/>
    <x v="0"/>
    <x v="0"/>
    <x v="1"/>
    <x v="3"/>
    <s v="Free"/>
    <n v="1"/>
    <n v="1"/>
    <n v="0"/>
    <n v="0"/>
    <n v="0"/>
    <n v="0"/>
    <n v="0"/>
    <n v="0"/>
    <m/>
    <n v="71.400000000000006"/>
  </r>
  <r>
    <s v="USR-100123"/>
    <d v="2025-04-22T00:00:00"/>
    <x v="0"/>
    <x v="3"/>
    <x v="1"/>
    <x v="3"/>
    <s v="Basic"/>
    <n v="0"/>
    <n v="0"/>
    <n v="0"/>
    <n v="0"/>
    <n v="0"/>
    <n v="0"/>
    <n v="0"/>
    <n v="0"/>
    <m/>
    <n v="36.1"/>
  </r>
  <r>
    <s v="USR-100124"/>
    <d v="2025-05-30T00:00:00"/>
    <x v="0"/>
    <x v="1"/>
    <x v="3"/>
    <x v="0"/>
    <s v="Basic"/>
    <n v="1"/>
    <n v="1"/>
    <n v="0"/>
    <n v="0"/>
    <n v="0"/>
    <n v="0"/>
    <n v="0"/>
    <n v="0"/>
    <m/>
    <n v="47.9"/>
  </r>
  <r>
    <s v="USR-100125"/>
    <d v="2025-05-18T00:00:00"/>
    <x v="0"/>
    <x v="1"/>
    <x v="0"/>
    <x v="1"/>
    <s v="Premium"/>
    <n v="1"/>
    <n v="0"/>
    <n v="0"/>
    <n v="0"/>
    <n v="0"/>
    <n v="0"/>
    <n v="0"/>
    <n v="0"/>
    <m/>
    <n v="62.5"/>
  </r>
  <r>
    <s v="USR-100126"/>
    <d v="2025-01-13T00:00:00"/>
    <x v="0"/>
    <x v="3"/>
    <x v="0"/>
    <x v="2"/>
    <s v="Premium"/>
    <n v="1"/>
    <n v="0"/>
    <n v="0"/>
    <n v="0"/>
    <n v="0"/>
    <n v="0"/>
    <n v="0"/>
    <n v="0"/>
    <m/>
    <n v="56.9"/>
  </r>
  <r>
    <s v="USR-100127"/>
    <d v="2025-03-25T00:00:00"/>
    <x v="0"/>
    <x v="0"/>
    <x v="0"/>
    <x v="0"/>
    <s v="Free"/>
    <n v="0"/>
    <n v="0"/>
    <n v="0"/>
    <n v="0"/>
    <n v="0"/>
    <n v="0"/>
    <n v="0"/>
    <n v="0"/>
    <m/>
    <n v="64.7"/>
  </r>
  <r>
    <s v="USR-100128"/>
    <d v="2025-04-29T00:00:00"/>
    <x v="0"/>
    <x v="3"/>
    <x v="0"/>
    <x v="1"/>
    <s v="Free"/>
    <n v="1"/>
    <n v="1"/>
    <n v="1"/>
    <n v="0"/>
    <n v="0"/>
    <n v="0"/>
    <n v="0"/>
    <n v="0"/>
    <m/>
    <n v="64"/>
  </r>
  <r>
    <s v="USR-100129"/>
    <d v="2025-05-17T00:00:00"/>
    <x v="0"/>
    <x v="2"/>
    <x v="1"/>
    <x v="3"/>
    <s v="Basic"/>
    <n v="1"/>
    <n v="1"/>
    <n v="1"/>
    <n v="0"/>
    <n v="0"/>
    <n v="0"/>
    <n v="0"/>
    <n v="0"/>
    <m/>
    <n v="75.2"/>
  </r>
  <r>
    <s v="USR-100130"/>
    <d v="2025-01-02T00:00:00"/>
    <x v="0"/>
    <x v="0"/>
    <x v="1"/>
    <x v="2"/>
    <s v="Free"/>
    <n v="1"/>
    <n v="0"/>
    <n v="0"/>
    <n v="0"/>
    <n v="0"/>
    <n v="1"/>
    <n v="1"/>
    <n v="0"/>
    <m/>
    <n v="79"/>
  </r>
  <r>
    <s v="USR-100131"/>
    <d v="2025-02-03T00:00:00"/>
    <x v="0"/>
    <x v="3"/>
    <x v="1"/>
    <x v="1"/>
    <s v="Free"/>
    <n v="0"/>
    <n v="0"/>
    <n v="0"/>
    <n v="0"/>
    <n v="0"/>
    <n v="0"/>
    <n v="0"/>
    <n v="0"/>
    <m/>
    <n v="33"/>
  </r>
  <r>
    <s v="USR-100132"/>
    <d v="2025-03-04T00:00:00"/>
    <x v="0"/>
    <x v="2"/>
    <x v="1"/>
    <x v="1"/>
    <s v="Free"/>
    <n v="1"/>
    <n v="0"/>
    <n v="0"/>
    <n v="0"/>
    <n v="0"/>
    <n v="0"/>
    <n v="0"/>
    <n v="0"/>
    <m/>
    <n v="67.900000000000006"/>
  </r>
  <r>
    <s v="USR-100133"/>
    <d v="2025-01-26T00:00:00"/>
    <x v="0"/>
    <x v="3"/>
    <x v="1"/>
    <x v="2"/>
    <s v="Basic"/>
    <n v="0"/>
    <n v="0"/>
    <n v="0"/>
    <n v="0"/>
    <n v="0"/>
    <n v="0"/>
    <n v="0"/>
    <n v="0"/>
    <m/>
    <n v="42.2"/>
  </r>
  <r>
    <s v="USR-100134"/>
    <d v="2025-05-12T00:00:00"/>
    <x v="0"/>
    <x v="1"/>
    <x v="1"/>
    <x v="2"/>
    <s v="Basic"/>
    <n v="1"/>
    <n v="1"/>
    <n v="1"/>
    <n v="0"/>
    <n v="0"/>
    <n v="0"/>
    <n v="0"/>
    <n v="0"/>
    <m/>
    <n v="43.4"/>
  </r>
  <r>
    <s v="USR-100135"/>
    <d v="2025-03-06T00:00:00"/>
    <x v="0"/>
    <x v="0"/>
    <x v="1"/>
    <x v="1"/>
    <s v="Basic"/>
    <n v="0"/>
    <n v="0"/>
    <n v="0"/>
    <n v="0"/>
    <n v="0"/>
    <n v="0"/>
    <n v="0"/>
    <n v="0"/>
    <m/>
    <n v="54.4"/>
  </r>
  <r>
    <s v="USR-100136"/>
    <d v="2025-03-10T00:00:00"/>
    <x v="0"/>
    <x v="3"/>
    <x v="0"/>
    <x v="0"/>
    <s v="Premium"/>
    <n v="0"/>
    <n v="0"/>
    <n v="0"/>
    <n v="0"/>
    <n v="0"/>
    <n v="0"/>
    <n v="0"/>
    <n v="0"/>
    <m/>
    <n v="45.7"/>
  </r>
  <r>
    <s v="USR-100137"/>
    <d v="2025-05-06T00:00:00"/>
    <x v="0"/>
    <x v="0"/>
    <x v="1"/>
    <x v="2"/>
    <s v="Free"/>
    <n v="0"/>
    <n v="0"/>
    <n v="0"/>
    <n v="0"/>
    <n v="0"/>
    <n v="3"/>
    <n v="1"/>
    <n v="0"/>
    <m/>
    <n v="32"/>
  </r>
  <r>
    <s v="USR-100138"/>
    <d v="2025-02-23T00:00:00"/>
    <x v="0"/>
    <x v="3"/>
    <x v="0"/>
    <x v="2"/>
    <s v="Free"/>
    <n v="1"/>
    <n v="0"/>
    <n v="0"/>
    <n v="0"/>
    <n v="0"/>
    <n v="0"/>
    <n v="0"/>
    <n v="0"/>
    <m/>
    <n v="70.900000000000006"/>
  </r>
  <r>
    <s v="USR-100139"/>
    <d v="2025-01-29T00:00:00"/>
    <x v="0"/>
    <x v="1"/>
    <x v="1"/>
    <x v="4"/>
    <s v="Basic"/>
    <n v="1"/>
    <n v="1"/>
    <n v="1"/>
    <n v="0"/>
    <n v="0"/>
    <n v="0"/>
    <n v="0"/>
    <n v="0"/>
    <m/>
    <n v="59.1"/>
  </r>
  <r>
    <s v="USR-100140"/>
    <d v="2025-01-31T00:00:00"/>
    <x v="0"/>
    <x v="0"/>
    <x v="1"/>
    <x v="1"/>
    <s v="Basic"/>
    <n v="0"/>
    <n v="0"/>
    <n v="0"/>
    <n v="0"/>
    <n v="0"/>
    <n v="0"/>
    <n v="0"/>
    <n v="0"/>
    <m/>
    <n v="62.4"/>
  </r>
  <r>
    <s v="USR-100141"/>
    <d v="2025-01-19T00:00:00"/>
    <x v="0"/>
    <x v="3"/>
    <x v="1"/>
    <x v="1"/>
    <s v="Free"/>
    <n v="0"/>
    <n v="0"/>
    <n v="0"/>
    <n v="0"/>
    <n v="0"/>
    <n v="0"/>
    <n v="0"/>
    <n v="0"/>
    <m/>
    <n v="49.6"/>
  </r>
  <r>
    <s v="USR-100142"/>
    <d v="2025-04-03T00:00:00"/>
    <x v="0"/>
    <x v="1"/>
    <x v="0"/>
    <x v="4"/>
    <s v="Free"/>
    <n v="1"/>
    <n v="1"/>
    <n v="1"/>
    <n v="1"/>
    <n v="404.4"/>
    <n v="0"/>
    <n v="0"/>
    <n v="0"/>
    <n v="9"/>
    <n v="80.599999999999994"/>
  </r>
  <r>
    <s v="USR-100143"/>
    <d v="2025-04-07T00:00:00"/>
    <x v="0"/>
    <x v="0"/>
    <x v="1"/>
    <x v="2"/>
    <s v="Free"/>
    <n v="1"/>
    <n v="0"/>
    <n v="0"/>
    <n v="0"/>
    <n v="0"/>
    <n v="0"/>
    <n v="0"/>
    <n v="0"/>
    <m/>
    <n v="47.9"/>
  </r>
  <r>
    <s v="USR-100144"/>
    <d v="2025-01-06T00:00:00"/>
    <x v="0"/>
    <x v="2"/>
    <x v="1"/>
    <x v="2"/>
    <s v="Basic"/>
    <n v="1"/>
    <n v="1"/>
    <n v="0"/>
    <n v="0"/>
    <n v="0"/>
    <n v="0"/>
    <n v="0"/>
    <n v="0"/>
    <m/>
    <n v="54.8"/>
  </r>
  <r>
    <s v="USR-100145"/>
    <d v="2025-04-11T00:00:00"/>
    <x v="0"/>
    <x v="2"/>
    <x v="1"/>
    <x v="1"/>
    <s v="Free"/>
    <n v="1"/>
    <n v="0"/>
    <n v="0"/>
    <n v="0"/>
    <n v="0"/>
    <n v="1"/>
    <n v="1"/>
    <n v="0"/>
    <m/>
    <n v="53.9"/>
  </r>
  <r>
    <s v="USR-100146"/>
    <d v="2025-04-23T00:00:00"/>
    <x v="0"/>
    <x v="2"/>
    <x v="1"/>
    <x v="2"/>
    <s v="Free"/>
    <n v="1"/>
    <n v="0"/>
    <n v="0"/>
    <n v="0"/>
    <n v="0"/>
    <n v="0"/>
    <n v="0"/>
    <n v="0"/>
    <m/>
    <n v="41.3"/>
  </r>
  <r>
    <s v="USR-100147"/>
    <d v="2025-03-25T00:00:00"/>
    <x v="0"/>
    <x v="1"/>
    <x v="1"/>
    <x v="1"/>
    <s v="Basic"/>
    <n v="1"/>
    <n v="1"/>
    <n v="0"/>
    <n v="0"/>
    <n v="0"/>
    <n v="0"/>
    <n v="0"/>
    <n v="0"/>
    <m/>
    <n v="38.9"/>
  </r>
  <r>
    <s v="USR-100148"/>
    <d v="2025-05-25T00:00:00"/>
    <x v="0"/>
    <x v="3"/>
    <x v="0"/>
    <x v="1"/>
    <s v="Basic"/>
    <n v="1"/>
    <n v="0"/>
    <n v="0"/>
    <n v="0"/>
    <n v="0"/>
    <n v="0"/>
    <n v="0"/>
    <n v="0"/>
    <m/>
    <n v="63.6"/>
  </r>
  <r>
    <s v="USR-100149"/>
    <d v="2025-01-28T00:00:00"/>
    <x v="0"/>
    <x v="0"/>
    <x v="1"/>
    <x v="1"/>
    <s v="Free"/>
    <n v="1"/>
    <n v="1"/>
    <n v="1"/>
    <n v="1"/>
    <n v="577.94000000000005"/>
    <n v="0"/>
    <n v="0"/>
    <n v="0"/>
    <n v="9"/>
    <n v="76.599999999999994"/>
  </r>
  <r>
    <s v="USR-100150"/>
    <d v="2025-02-12T00:00:00"/>
    <x v="0"/>
    <x v="1"/>
    <x v="1"/>
    <x v="2"/>
    <s v="Premium"/>
    <n v="0"/>
    <n v="0"/>
    <n v="0"/>
    <n v="0"/>
    <n v="0"/>
    <n v="1"/>
    <n v="1"/>
    <n v="0"/>
    <m/>
    <n v="67.599999999999994"/>
  </r>
  <r>
    <s v="USR-100151"/>
    <d v="2025-04-29T00:00:00"/>
    <x v="0"/>
    <x v="0"/>
    <x v="1"/>
    <x v="4"/>
    <s v="Premium"/>
    <n v="1"/>
    <n v="0"/>
    <n v="0"/>
    <n v="0"/>
    <n v="0"/>
    <n v="0"/>
    <n v="0"/>
    <n v="0"/>
    <m/>
    <n v="43.1"/>
  </r>
  <r>
    <s v="USR-100152"/>
    <d v="2025-03-13T00:00:00"/>
    <x v="0"/>
    <x v="3"/>
    <x v="1"/>
    <x v="0"/>
    <s v="Free"/>
    <n v="1"/>
    <n v="0"/>
    <n v="0"/>
    <n v="0"/>
    <n v="0"/>
    <n v="0"/>
    <n v="0"/>
    <n v="0"/>
    <m/>
    <n v="58.3"/>
  </r>
  <r>
    <s v="USR-100153"/>
    <d v="2025-02-04T00:00:00"/>
    <x v="0"/>
    <x v="2"/>
    <x v="0"/>
    <x v="2"/>
    <s v="Free"/>
    <n v="1"/>
    <n v="0"/>
    <n v="0"/>
    <n v="0"/>
    <n v="0"/>
    <n v="0"/>
    <n v="0"/>
    <n v="0"/>
    <m/>
    <n v="69.8"/>
  </r>
  <r>
    <s v="USR-100154"/>
    <d v="2025-03-04T00:00:00"/>
    <x v="0"/>
    <x v="3"/>
    <x v="1"/>
    <x v="3"/>
    <s v="Free"/>
    <n v="1"/>
    <n v="1"/>
    <n v="0"/>
    <n v="0"/>
    <n v="0"/>
    <n v="0"/>
    <n v="0"/>
    <n v="0"/>
    <m/>
    <m/>
  </r>
  <r>
    <s v="USR-100155"/>
    <d v="2025-02-04T00:00:00"/>
    <x v="0"/>
    <x v="1"/>
    <x v="1"/>
    <x v="2"/>
    <s v="Basic"/>
    <n v="1"/>
    <n v="1"/>
    <n v="0"/>
    <n v="0"/>
    <n v="0"/>
    <n v="0"/>
    <n v="0"/>
    <n v="0"/>
    <m/>
    <n v="41.9"/>
  </r>
  <r>
    <s v="USR-100156"/>
    <d v="2025-03-11T00:00:00"/>
    <x v="0"/>
    <x v="0"/>
    <x v="0"/>
    <x v="1"/>
    <s v="Free"/>
    <n v="0"/>
    <n v="0"/>
    <n v="0"/>
    <n v="0"/>
    <n v="0"/>
    <n v="0"/>
    <n v="0"/>
    <n v="0"/>
    <m/>
    <n v="33.1"/>
  </r>
  <r>
    <s v="USR-100157"/>
    <d v="2025-04-22T00:00:00"/>
    <x v="0"/>
    <x v="1"/>
    <x v="1"/>
    <x v="1"/>
    <s v="Free"/>
    <n v="0"/>
    <n v="0"/>
    <n v="0"/>
    <n v="0"/>
    <n v="0"/>
    <n v="0"/>
    <n v="0"/>
    <n v="0"/>
    <m/>
    <n v="58.6"/>
  </r>
  <r>
    <s v="USR-100158"/>
    <d v="2025-03-08T00:00:00"/>
    <x v="0"/>
    <x v="0"/>
    <x v="0"/>
    <x v="2"/>
    <s v="Free"/>
    <n v="0"/>
    <n v="0"/>
    <n v="0"/>
    <n v="0"/>
    <n v="0"/>
    <n v="0"/>
    <n v="0"/>
    <n v="0"/>
    <m/>
    <n v="55.7"/>
  </r>
  <r>
    <s v="USR-100159"/>
    <d v="2025-03-10T00:00:00"/>
    <x v="0"/>
    <x v="2"/>
    <x v="1"/>
    <x v="1"/>
    <s v="Free"/>
    <n v="0"/>
    <n v="0"/>
    <n v="0"/>
    <n v="0"/>
    <n v="0"/>
    <n v="2"/>
    <n v="1"/>
    <n v="0"/>
    <m/>
    <n v="64.900000000000006"/>
  </r>
  <r>
    <s v="USR-100160"/>
    <d v="2025-05-18T00:00:00"/>
    <x v="0"/>
    <x v="0"/>
    <x v="0"/>
    <x v="2"/>
    <s v="Basic"/>
    <n v="0"/>
    <n v="0"/>
    <n v="0"/>
    <n v="0"/>
    <n v="0"/>
    <n v="0"/>
    <n v="0"/>
    <n v="0"/>
    <m/>
    <n v="72.3"/>
  </r>
  <r>
    <s v="USR-100161"/>
    <d v="2025-05-14T00:00:00"/>
    <x v="0"/>
    <x v="0"/>
    <x v="1"/>
    <x v="4"/>
    <s v="Basic"/>
    <n v="0"/>
    <n v="0"/>
    <n v="0"/>
    <n v="0"/>
    <n v="0"/>
    <n v="0"/>
    <n v="0"/>
    <n v="0"/>
    <m/>
    <n v="42.1"/>
  </r>
  <r>
    <s v="USR-100162"/>
    <d v="2025-02-01T00:00:00"/>
    <x v="0"/>
    <x v="0"/>
    <x v="1"/>
    <x v="1"/>
    <s v="Free"/>
    <n v="0"/>
    <n v="0"/>
    <n v="0"/>
    <n v="0"/>
    <n v="0"/>
    <n v="0"/>
    <n v="0"/>
    <n v="0"/>
    <m/>
    <m/>
  </r>
  <r>
    <s v="USR-100163"/>
    <d v="2025-04-11T00:00:00"/>
    <x v="0"/>
    <x v="3"/>
    <x v="1"/>
    <x v="1"/>
    <s v="Basic"/>
    <n v="0"/>
    <n v="0"/>
    <n v="0"/>
    <n v="0"/>
    <n v="0"/>
    <n v="1"/>
    <n v="1"/>
    <n v="0"/>
    <m/>
    <n v="64.8"/>
  </r>
  <r>
    <s v="USR-100164"/>
    <d v="2025-02-14T00:00:00"/>
    <x v="0"/>
    <x v="2"/>
    <x v="1"/>
    <x v="1"/>
    <s v="Free"/>
    <n v="0"/>
    <n v="0"/>
    <n v="0"/>
    <n v="0"/>
    <n v="0"/>
    <n v="0"/>
    <n v="0"/>
    <n v="0"/>
    <m/>
    <n v="72.099999999999994"/>
  </r>
  <r>
    <s v="USR-100165"/>
    <d v="2025-05-19T00:00:00"/>
    <x v="0"/>
    <x v="2"/>
    <x v="1"/>
    <x v="4"/>
    <s v="Free"/>
    <n v="1"/>
    <n v="0"/>
    <n v="0"/>
    <n v="0"/>
    <n v="0"/>
    <n v="0"/>
    <n v="0"/>
    <n v="0"/>
    <m/>
    <n v="50.6"/>
  </r>
  <r>
    <s v="USR-100166"/>
    <d v="2025-04-26T00:00:00"/>
    <x v="0"/>
    <x v="0"/>
    <x v="0"/>
    <x v="2"/>
    <s v="Basic"/>
    <n v="1"/>
    <n v="1"/>
    <n v="1"/>
    <n v="1"/>
    <n v="1281.25"/>
    <n v="1"/>
    <n v="1"/>
    <n v="0"/>
    <n v="9"/>
    <n v="43.4"/>
  </r>
  <r>
    <s v="USR-100167"/>
    <d v="2025-04-06T00:00:00"/>
    <x v="0"/>
    <x v="3"/>
    <x v="1"/>
    <x v="4"/>
    <s v="Free"/>
    <n v="1"/>
    <n v="0"/>
    <n v="0"/>
    <n v="0"/>
    <n v="0"/>
    <n v="0"/>
    <n v="0"/>
    <n v="0"/>
    <m/>
    <n v="59.7"/>
  </r>
  <r>
    <s v="USR-100168"/>
    <d v="2025-03-06T00:00:00"/>
    <x v="0"/>
    <x v="3"/>
    <x v="1"/>
    <x v="2"/>
    <s v="Free"/>
    <n v="1"/>
    <n v="0"/>
    <n v="0"/>
    <n v="0"/>
    <n v="0"/>
    <n v="1"/>
    <n v="1"/>
    <n v="0"/>
    <m/>
    <m/>
  </r>
  <r>
    <s v="USR-100169"/>
    <d v="2025-03-10T00:00:00"/>
    <x v="0"/>
    <x v="1"/>
    <x v="1"/>
    <x v="4"/>
    <s v="Basic"/>
    <n v="0"/>
    <n v="0"/>
    <n v="0"/>
    <n v="0"/>
    <n v="0"/>
    <n v="0"/>
    <n v="0"/>
    <n v="0"/>
    <m/>
    <n v="54.5"/>
  </r>
  <r>
    <s v="USR-100170"/>
    <d v="2025-03-30T00:00:00"/>
    <x v="0"/>
    <x v="0"/>
    <x v="1"/>
    <x v="1"/>
    <s v="Free"/>
    <n v="1"/>
    <n v="0"/>
    <n v="0"/>
    <n v="0"/>
    <n v="0"/>
    <n v="0"/>
    <n v="0"/>
    <n v="0"/>
    <m/>
    <n v="71.099999999999994"/>
  </r>
  <r>
    <s v="USR-100171"/>
    <d v="2025-05-29T00:00:00"/>
    <x v="0"/>
    <x v="2"/>
    <x v="3"/>
    <x v="2"/>
    <s v="Free"/>
    <n v="1"/>
    <n v="1"/>
    <n v="1"/>
    <n v="0"/>
    <n v="0"/>
    <n v="0"/>
    <n v="0"/>
    <n v="0"/>
    <m/>
    <n v="44.4"/>
  </r>
  <r>
    <s v="USR-100172"/>
    <d v="2025-03-23T00:00:00"/>
    <x v="0"/>
    <x v="0"/>
    <x v="1"/>
    <x v="1"/>
    <s v="Free"/>
    <n v="1"/>
    <n v="0"/>
    <n v="0"/>
    <n v="0"/>
    <n v="0"/>
    <n v="0"/>
    <n v="0"/>
    <n v="0"/>
    <m/>
    <n v="61.7"/>
  </r>
  <r>
    <s v="USR-100173"/>
    <d v="2025-02-18T00:00:00"/>
    <x v="0"/>
    <x v="0"/>
    <x v="2"/>
    <x v="1"/>
    <s v="Basic"/>
    <n v="0"/>
    <n v="0"/>
    <n v="0"/>
    <n v="0"/>
    <n v="0"/>
    <n v="1"/>
    <n v="1"/>
    <n v="0"/>
    <m/>
    <n v="81.3"/>
  </r>
  <r>
    <s v="USR-100174"/>
    <d v="2025-01-26T00:00:00"/>
    <x v="0"/>
    <x v="0"/>
    <x v="0"/>
    <x v="0"/>
    <s v="Free"/>
    <n v="1"/>
    <n v="0"/>
    <n v="0"/>
    <n v="0"/>
    <n v="0"/>
    <n v="2"/>
    <n v="1"/>
    <n v="0"/>
    <m/>
    <n v="28.7"/>
  </r>
  <r>
    <s v="USR-100175"/>
    <d v="2025-04-23T00:00:00"/>
    <x v="0"/>
    <x v="2"/>
    <x v="1"/>
    <x v="4"/>
    <s v="Basic"/>
    <n v="0"/>
    <n v="0"/>
    <n v="0"/>
    <n v="0"/>
    <n v="0"/>
    <n v="0"/>
    <n v="0"/>
    <n v="0"/>
    <m/>
    <n v="53"/>
  </r>
  <r>
    <s v="USR-100176"/>
    <d v="2025-03-16T00:00:00"/>
    <x v="0"/>
    <x v="3"/>
    <x v="2"/>
    <x v="3"/>
    <s v="Basic"/>
    <n v="1"/>
    <n v="0"/>
    <n v="0"/>
    <n v="0"/>
    <n v="0"/>
    <n v="0"/>
    <n v="0"/>
    <n v="0"/>
    <m/>
    <n v="54.9"/>
  </r>
  <r>
    <s v="USR-100177"/>
    <d v="2025-04-29T00:00:00"/>
    <x v="0"/>
    <x v="1"/>
    <x v="1"/>
    <x v="1"/>
    <s v="Basic"/>
    <n v="1"/>
    <n v="0"/>
    <n v="0"/>
    <n v="0"/>
    <n v="0"/>
    <n v="0"/>
    <n v="0"/>
    <n v="0"/>
    <m/>
    <n v="58.2"/>
  </r>
  <r>
    <s v="USR-100178"/>
    <d v="2025-04-06T00:00:00"/>
    <x v="0"/>
    <x v="0"/>
    <x v="1"/>
    <x v="1"/>
    <s v="Free"/>
    <n v="0"/>
    <n v="0"/>
    <n v="0"/>
    <n v="0"/>
    <n v="0"/>
    <n v="0"/>
    <n v="0"/>
    <n v="0"/>
    <m/>
    <n v="80.599999999999994"/>
  </r>
  <r>
    <s v="USR-100179"/>
    <d v="2025-04-17T00:00:00"/>
    <x v="0"/>
    <x v="0"/>
    <x v="0"/>
    <x v="3"/>
    <s v="Premium"/>
    <n v="1"/>
    <n v="1"/>
    <n v="1"/>
    <n v="0"/>
    <n v="0"/>
    <n v="0"/>
    <n v="0"/>
    <n v="0"/>
    <m/>
    <n v="38.4"/>
  </r>
  <r>
    <s v="USR-100180"/>
    <d v="2025-04-03T00:00:00"/>
    <x v="0"/>
    <x v="3"/>
    <x v="1"/>
    <x v="2"/>
    <s v="Free"/>
    <n v="1"/>
    <n v="0"/>
    <n v="0"/>
    <n v="0"/>
    <n v="0"/>
    <n v="0"/>
    <n v="0"/>
    <n v="0"/>
    <m/>
    <n v="56.1"/>
  </r>
  <r>
    <s v="USR-100181"/>
    <d v="2025-04-25T00:00:00"/>
    <x v="0"/>
    <x v="1"/>
    <x v="1"/>
    <x v="2"/>
    <s v="Free"/>
    <n v="0"/>
    <n v="0"/>
    <n v="0"/>
    <n v="0"/>
    <n v="0"/>
    <n v="0"/>
    <n v="0"/>
    <n v="0"/>
    <m/>
    <n v="62.6"/>
  </r>
  <r>
    <s v="USR-100182"/>
    <d v="2025-04-30T00:00:00"/>
    <x v="0"/>
    <x v="3"/>
    <x v="1"/>
    <x v="1"/>
    <s v="Premium"/>
    <n v="0"/>
    <n v="0"/>
    <n v="0"/>
    <n v="0"/>
    <n v="0"/>
    <n v="0"/>
    <n v="0"/>
    <n v="0"/>
    <m/>
    <n v="36.299999999999997"/>
  </r>
  <r>
    <s v="USR-100183"/>
    <d v="2025-03-12T00:00:00"/>
    <x v="0"/>
    <x v="3"/>
    <x v="1"/>
    <x v="2"/>
    <s v="Free"/>
    <n v="1"/>
    <n v="0"/>
    <n v="0"/>
    <n v="0"/>
    <n v="0"/>
    <n v="0"/>
    <n v="0"/>
    <n v="0"/>
    <m/>
    <n v="52.1"/>
  </r>
  <r>
    <s v="USR-100184"/>
    <d v="2025-05-04T00:00:00"/>
    <x v="0"/>
    <x v="3"/>
    <x v="1"/>
    <x v="1"/>
    <s v="Free"/>
    <n v="1"/>
    <n v="0"/>
    <n v="0"/>
    <n v="0"/>
    <n v="0"/>
    <n v="0"/>
    <n v="0"/>
    <n v="0"/>
    <m/>
    <n v="45.1"/>
  </r>
  <r>
    <s v="USR-100185"/>
    <d v="2025-02-07T00:00:00"/>
    <x v="0"/>
    <x v="3"/>
    <x v="2"/>
    <x v="2"/>
    <s v="Premium"/>
    <n v="0"/>
    <n v="0"/>
    <n v="0"/>
    <n v="0"/>
    <n v="0"/>
    <n v="0"/>
    <n v="0"/>
    <n v="0"/>
    <m/>
    <n v="67.5"/>
  </r>
  <r>
    <s v="USR-100186"/>
    <d v="2025-04-28T00:00:00"/>
    <x v="0"/>
    <x v="2"/>
    <x v="2"/>
    <x v="0"/>
    <s v="Basic"/>
    <n v="1"/>
    <n v="1"/>
    <n v="1"/>
    <n v="0"/>
    <n v="0"/>
    <n v="0"/>
    <n v="0"/>
    <n v="0"/>
    <m/>
    <n v="80"/>
  </r>
  <r>
    <s v="USR-100187"/>
    <d v="2025-05-15T00:00:00"/>
    <x v="0"/>
    <x v="2"/>
    <x v="0"/>
    <x v="3"/>
    <s v="Free"/>
    <n v="0"/>
    <n v="0"/>
    <n v="0"/>
    <n v="0"/>
    <n v="0"/>
    <n v="0"/>
    <n v="0"/>
    <n v="0"/>
    <m/>
    <n v="56.4"/>
  </r>
  <r>
    <s v="USR-100188"/>
    <d v="2025-01-18T00:00:00"/>
    <x v="0"/>
    <x v="1"/>
    <x v="1"/>
    <x v="2"/>
    <s v="Basic"/>
    <n v="0"/>
    <n v="0"/>
    <n v="0"/>
    <n v="0"/>
    <n v="0"/>
    <n v="0"/>
    <n v="0"/>
    <n v="0"/>
    <m/>
    <n v="55.4"/>
  </r>
  <r>
    <s v="USR-100189"/>
    <d v="2025-02-15T00:00:00"/>
    <x v="0"/>
    <x v="3"/>
    <x v="1"/>
    <x v="4"/>
    <s v="Basic"/>
    <n v="1"/>
    <n v="0"/>
    <n v="0"/>
    <n v="0"/>
    <n v="0"/>
    <n v="0"/>
    <n v="0"/>
    <n v="0"/>
    <m/>
    <n v="67.900000000000006"/>
  </r>
  <r>
    <s v="USR-100190"/>
    <d v="2025-02-18T00:00:00"/>
    <x v="0"/>
    <x v="0"/>
    <x v="2"/>
    <x v="0"/>
    <s v="Free"/>
    <n v="1"/>
    <n v="0"/>
    <n v="0"/>
    <n v="0"/>
    <n v="0"/>
    <n v="0"/>
    <n v="0"/>
    <n v="0"/>
    <m/>
    <n v="62.5"/>
  </r>
  <r>
    <s v="USR-100191"/>
    <d v="2025-01-30T00:00:00"/>
    <x v="0"/>
    <x v="3"/>
    <x v="0"/>
    <x v="0"/>
    <s v="Basic"/>
    <n v="1"/>
    <n v="1"/>
    <n v="1"/>
    <n v="0"/>
    <n v="0"/>
    <n v="0"/>
    <n v="0"/>
    <n v="0"/>
    <m/>
    <n v="54.3"/>
  </r>
  <r>
    <s v="USR-100192"/>
    <d v="2025-02-09T00:00:00"/>
    <x v="0"/>
    <x v="3"/>
    <x v="0"/>
    <x v="1"/>
    <s v="Basic"/>
    <n v="1"/>
    <n v="0"/>
    <n v="0"/>
    <n v="0"/>
    <n v="0"/>
    <n v="0"/>
    <n v="0"/>
    <n v="0"/>
    <m/>
    <n v="37.5"/>
  </r>
  <r>
    <s v="USR-100193"/>
    <d v="2025-03-16T00:00:00"/>
    <x v="0"/>
    <x v="1"/>
    <x v="1"/>
    <x v="2"/>
    <s v="Basic"/>
    <n v="1"/>
    <n v="0"/>
    <n v="0"/>
    <n v="0"/>
    <n v="0"/>
    <n v="0"/>
    <n v="0"/>
    <n v="0"/>
    <m/>
    <n v="52.6"/>
  </r>
  <r>
    <s v="USR-100194"/>
    <d v="2025-05-19T00:00:00"/>
    <x v="0"/>
    <x v="0"/>
    <x v="1"/>
    <x v="2"/>
    <s v="Free"/>
    <n v="1"/>
    <n v="0"/>
    <n v="0"/>
    <n v="0"/>
    <n v="0"/>
    <n v="0"/>
    <n v="0"/>
    <n v="0"/>
    <m/>
    <n v="46.1"/>
  </r>
  <r>
    <s v="USR-100195"/>
    <d v="2025-05-16T00:00:00"/>
    <x v="0"/>
    <x v="3"/>
    <x v="0"/>
    <x v="1"/>
    <s v="Basic"/>
    <n v="1"/>
    <n v="0"/>
    <n v="0"/>
    <n v="0"/>
    <n v="0"/>
    <n v="0"/>
    <n v="0"/>
    <n v="0"/>
    <m/>
    <n v="54.7"/>
  </r>
  <r>
    <s v="USR-100196"/>
    <d v="2025-04-25T00:00:00"/>
    <x v="0"/>
    <x v="1"/>
    <x v="0"/>
    <x v="3"/>
    <s v="Basic"/>
    <n v="0"/>
    <n v="0"/>
    <n v="0"/>
    <n v="0"/>
    <n v="0"/>
    <n v="0"/>
    <n v="0"/>
    <n v="0"/>
    <m/>
    <n v="74.2"/>
  </r>
  <r>
    <s v="USR-100197"/>
    <d v="2025-02-27T00:00:00"/>
    <x v="0"/>
    <x v="0"/>
    <x v="1"/>
    <x v="4"/>
    <s v="Basic"/>
    <n v="1"/>
    <n v="1"/>
    <n v="1"/>
    <n v="1"/>
    <n v="1052.8"/>
    <n v="2"/>
    <n v="1"/>
    <n v="0"/>
    <n v="6"/>
    <n v="64.7"/>
  </r>
  <r>
    <s v="USR-100198"/>
    <d v="2025-04-26T00:00:00"/>
    <x v="0"/>
    <x v="3"/>
    <x v="1"/>
    <x v="2"/>
    <s v="Basic"/>
    <n v="0"/>
    <n v="0"/>
    <n v="0"/>
    <n v="0"/>
    <n v="0"/>
    <n v="0"/>
    <n v="0"/>
    <n v="0"/>
    <m/>
    <n v="65.900000000000006"/>
  </r>
  <r>
    <s v="USR-100199"/>
    <d v="2025-05-14T00:00:00"/>
    <x v="0"/>
    <x v="0"/>
    <x v="1"/>
    <x v="1"/>
    <s v="Basic"/>
    <n v="1"/>
    <n v="0"/>
    <n v="0"/>
    <n v="0"/>
    <n v="0"/>
    <n v="0"/>
    <n v="0"/>
    <n v="0"/>
    <m/>
    <n v="64"/>
  </r>
  <r>
    <s v="USR-100200"/>
    <d v="2025-03-05T00:00:00"/>
    <x v="0"/>
    <x v="0"/>
    <x v="1"/>
    <x v="1"/>
    <s v="Premium"/>
    <n v="1"/>
    <n v="0"/>
    <n v="0"/>
    <n v="0"/>
    <n v="0"/>
    <n v="0"/>
    <n v="0"/>
    <n v="0"/>
    <m/>
    <n v="57.2"/>
  </r>
  <r>
    <s v="USR-100201"/>
    <d v="2025-04-02T00:00:00"/>
    <x v="0"/>
    <x v="1"/>
    <x v="0"/>
    <x v="1"/>
    <s v="Free"/>
    <n v="1"/>
    <n v="0"/>
    <n v="0"/>
    <n v="0"/>
    <n v="0"/>
    <n v="0"/>
    <n v="0"/>
    <n v="0"/>
    <m/>
    <n v="80.5"/>
  </r>
  <r>
    <s v="USR-100202"/>
    <d v="2025-05-14T00:00:00"/>
    <x v="0"/>
    <x v="3"/>
    <x v="2"/>
    <x v="1"/>
    <s v="Free"/>
    <n v="0"/>
    <n v="0"/>
    <n v="0"/>
    <n v="0"/>
    <n v="0"/>
    <n v="0"/>
    <n v="0"/>
    <n v="0"/>
    <m/>
    <n v="53.9"/>
  </r>
  <r>
    <s v="USR-100203"/>
    <d v="2025-05-21T00:00:00"/>
    <x v="0"/>
    <x v="0"/>
    <x v="1"/>
    <x v="2"/>
    <s v="Free"/>
    <n v="1"/>
    <n v="1"/>
    <n v="0"/>
    <n v="0"/>
    <n v="0"/>
    <n v="0"/>
    <n v="0"/>
    <n v="0"/>
    <m/>
    <n v="77.5"/>
  </r>
  <r>
    <s v="USR-100204"/>
    <d v="2025-01-27T00:00:00"/>
    <x v="0"/>
    <x v="2"/>
    <x v="1"/>
    <x v="4"/>
    <s v="Basic"/>
    <n v="0"/>
    <n v="0"/>
    <n v="0"/>
    <n v="0"/>
    <n v="0"/>
    <n v="0"/>
    <n v="0"/>
    <n v="0"/>
    <m/>
    <n v="84.2"/>
  </r>
  <r>
    <s v="USR-100205"/>
    <d v="2025-05-22T00:00:00"/>
    <x v="0"/>
    <x v="1"/>
    <x v="0"/>
    <x v="1"/>
    <s v="Free"/>
    <n v="1"/>
    <n v="1"/>
    <n v="0"/>
    <n v="0"/>
    <n v="0"/>
    <n v="0"/>
    <n v="0"/>
    <n v="0"/>
    <m/>
    <n v="54.9"/>
  </r>
  <r>
    <s v="USR-100206"/>
    <d v="2025-05-19T00:00:00"/>
    <x v="0"/>
    <x v="3"/>
    <x v="1"/>
    <x v="2"/>
    <s v="Free"/>
    <n v="0"/>
    <n v="0"/>
    <n v="0"/>
    <n v="0"/>
    <n v="0"/>
    <n v="0"/>
    <n v="0"/>
    <n v="0"/>
    <m/>
    <n v="69.3"/>
  </r>
  <r>
    <s v="USR-100207"/>
    <d v="2025-01-14T00:00:00"/>
    <x v="0"/>
    <x v="3"/>
    <x v="0"/>
    <x v="2"/>
    <s v="Free"/>
    <n v="1"/>
    <n v="0"/>
    <n v="0"/>
    <n v="0"/>
    <n v="0"/>
    <n v="2"/>
    <n v="1"/>
    <n v="0"/>
    <m/>
    <n v="42.3"/>
  </r>
  <r>
    <s v="USR-100208"/>
    <d v="2025-01-21T00:00:00"/>
    <x v="0"/>
    <x v="0"/>
    <x v="0"/>
    <x v="3"/>
    <s v="Premium"/>
    <n v="1"/>
    <n v="0"/>
    <n v="0"/>
    <n v="0"/>
    <n v="0"/>
    <n v="1"/>
    <n v="1"/>
    <n v="0"/>
    <m/>
    <n v="69.599999999999994"/>
  </r>
  <r>
    <s v="USR-100209"/>
    <d v="2025-05-16T00:00:00"/>
    <x v="0"/>
    <x v="2"/>
    <x v="1"/>
    <x v="1"/>
    <s v="Free"/>
    <n v="0"/>
    <n v="0"/>
    <n v="0"/>
    <n v="0"/>
    <n v="0"/>
    <n v="0"/>
    <n v="0"/>
    <n v="0"/>
    <m/>
    <n v="40.700000000000003"/>
  </r>
  <r>
    <s v="USR-100210"/>
    <d v="2025-02-02T00:00:00"/>
    <x v="0"/>
    <x v="0"/>
    <x v="1"/>
    <x v="0"/>
    <s v="Free"/>
    <n v="1"/>
    <n v="0"/>
    <n v="0"/>
    <n v="0"/>
    <n v="0"/>
    <n v="0"/>
    <n v="0"/>
    <n v="0"/>
    <m/>
    <n v="54"/>
  </r>
  <r>
    <s v="USR-100211"/>
    <d v="2025-03-23T00:00:00"/>
    <x v="0"/>
    <x v="2"/>
    <x v="3"/>
    <x v="3"/>
    <s v="Free"/>
    <n v="1"/>
    <n v="1"/>
    <n v="1"/>
    <n v="1"/>
    <n v="553.37"/>
    <n v="0"/>
    <n v="0"/>
    <n v="0"/>
    <n v="5"/>
    <n v="46.3"/>
  </r>
  <r>
    <s v="USR-100212"/>
    <d v="2025-01-24T00:00:00"/>
    <x v="0"/>
    <x v="2"/>
    <x v="1"/>
    <x v="1"/>
    <s v="Free"/>
    <n v="1"/>
    <n v="0"/>
    <n v="0"/>
    <n v="0"/>
    <n v="0"/>
    <n v="0"/>
    <n v="0"/>
    <n v="0"/>
    <m/>
    <n v="64.2"/>
  </r>
  <r>
    <s v="USR-100213"/>
    <d v="2025-04-12T00:00:00"/>
    <x v="0"/>
    <x v="0"/>
    <x v="0"/>
    <x v="1"/>
    <s v="Free"/>
    <n v="1"/>
    <n v="0"/>
    <n v="0"/>
    <n v="0"/>
    <n v="0"/>
    <n v="0"/>
    <n v="0"/>
    <n v="0"/>
    <m/>
    <n v="75.2"/>
  </r>
  <r>
    <s v="USR-100214"/>
    <d v="2025-02-18T00:00:00"/>
    <x v="0"/>
    <x v="2"/>
    <x v="0"/>
    <x v="2"/>
    <s v="Free"/>
    <n v="1"/>
    <n v="1"/>
    <n v="0"/>
    <n v="0"/>
    <n v="0"/>
    <n v="0"/>
    <n v="0"/>
    <n v="0"/>
    <m/>
    <n v="60.9"/>
  </r>
  <r>
    <s v="USR-100215"/>
    <d v="2025-05-28T00:00:00"/>
    <x v="0"/>
    <x v="3"/>
    <x v="1"/>
    <x v="0"/>
    <s v="Basic"/>
    <n v="1"/>
    <n v="1"/>
    <n v="1"/>
    <n v="0"/>
    <n v="0"/>
    <n v="0"/>
    <n v="0"/>
    <n v="0"/>
    <m/>
    <n v="62.1"/>
  </r>
  <r>
    <s v="USR-100216"/>
    <d v="2025-04-18T00:00:00"/>
    <x v="0"/>
    <x v="3"/>
    <x v="1"/>
    <x v="4"/>
    <s v="Basic"/>
    <n v="0"/>
    <n v="0"/>
    <n v="0"/>
    <n v="0"/>
    <n v="0"/>
    <n v="0"/>
    <n v="0"/>
    <n v="0"/>
    <m/>
    <n v="45.4"/>
  </r>
  <r>
    <s v="USR-100217"/>
    <d v="2025-03-27T00:00:00"/>
    <x v="0"/>
    <x v="0"/>
    <x v="1"/>
    <x v="2"/>
    <s v="Basic"/>
    <n v="1"/>
    <n v="0"/>
    <n v="0"/>
    <n v="0"/>
    <n v="0"/>
    <n v="0"/>
    <n v="0"/>
    <n v="0"/>
    <m/>
    <n v="53.3"/>
  </r>
  <r>
    <s v="USR-100218"/>
    <d v="2025-02-25T00:00:00"/>
    <x v="0"/>
    <x v="0"/>
    <x v="2"/>
    <x v="4"/>
    <s v="Free"/>
    <n v="1"/>
    <n v="0"/>
    <n v="0"/>
    <n v="0"/>
    <n v="0"/>
    <n v="0"/>
    <n v="0"/>
    <n v="0"/>
    <m/>
    <m/>
  </r>
  <r>
    <s v="USR-100219"/>
    <d v="2025-02-19T00:00:00"/>
    <x v="0"/>
    <x v="2"/>
    <x v="1"/>
    <x v="2"/>
    <s v="Free"/>
    <n v="0"/>
    <n v="0"/>
    <n v="0"/>
    <n v="0"/>
    <n v="0"/>
    <n v="1"/>
    <n v="1"/>
    <n v="0"/>
    <m/>
    <n v="38.200000000000003"/>
  </r>
  <r>
    <s v="USR-100220"/>
    <d v="2025-04-11T00:00:00"/>
    <x v="0"/>
    <x v="1"/>
    <x v="1"/>
    <x v="2"/>
    <s v="Free"/>
    <n v="1"/>
    <n v="1"/>
    <n v="0"/>
    <n v="0"/>
    <n v="0"/>
    <n v="3"/>
    <n v="1"/>
    <n v="0"/>
    <m/>
    <n v="59"/>
  </r>
  <r>
    <s v="USR-100221"/>
    <d v="2025-01-22T00:00:00"/>
    <x v="0"/>
    <x v="2"/>
    <x v="2"/>
    <x v="3"/>
    <s v="Premium"/>
    <n v="1"/>
    <n v="1"/>
    <n v="1"/>
    <n v="0"/>
    <n v="0"/>
    <n v="0"/>
    <n v="0"/>
    <n v="0"/>
    <m/>
    <n v="80.599999999999994"/>
  </r>
  <r>
    <s v="USR-100222"/>
    <d v="2025-01-12T00:00:00"/>
    <x v="0"/>
    <x v="3"/>
    <x v="1"/>
    <x v="4"/>
    <s v="Free"/>
    <n v="1"/>
    <n v="0"/>
    <n v="0"/>
    <n v="0"/>
    <n v="0"/>
    <n v="0"/>
    <n v="0"/>
    <n v="0"/>
    <m/>
    <n v="67"/>
  </r>
  <r>
    <s v="USR-100223"/>
    <d v="2025-02-17T00:00:00"/>
    <x v="0"/>
    <x v="1"/>
    <x v="1"/>
    <x v="0"/>
    <s v="Free"/>
    <n v="1"/>
    <n v="0"/>
    <n v="0"/>
    <n v="0"/>
    <n v="0"/>
    <n v="1"/>
    <n v="1"/>
    <n v="0"/>
    <m/>
    <n v="72.099999999999994"/>
  </r>
  <r>
    <s v="USR-100224"/>
    <d v="2025-04-11T00:00:00"/>
    <x v="0"/>
    <x v="1"/>
    <x v="0"/>
    <x v="1"/>
    <s v="Free"/>
    <n v="0"/>
    <n v="0"/>
    <n v="0"/>
    <n v="0"/>
    <n v="0"/>
    <n v="0"/>
    <n v="0"/>
    <n v="0"/>
    <m/>
    <n v="74.099999999999994"/>
  </r>
  <r>
    <s v="USR-100225"/>
    <d v="2025-05-25T00:00:00"/>
    <x v="0"/>
    <x v="3"/>
    <x v="1"/>
    <x v="3"/>
    <s v="Premium"/>
    <n v="0"/>
    <n v="0"/>
    <n v="0"/>
    <n v="0"/>
    <n v="0"/>
    <n v="0"/>
    <n v="0"/>
    <n v="0"/>
    <m/>
    <n v="84.8"/>
  </r>
  <r>
    <s v="USR-100226"/>
    <d v="2025-03-12T00:00:00"/>
    <x v="0"/>
    <x v="3"/>
    <x v="1"/>
    <x v="1"/>
    <s v="Basic"/>
    <n v="1"/>
    <n v="0"/>
    <n v="0"/>
    <n v="0"/>
    <n v="0"/>
    <n v="0"/>
    <n v="0"/>
    <n v="0"/>
    <m/>
    <n v="33"/>
  </r>
  <r>
    <s v="USR-100227"/>
    <d v="2025-04-20T00:00:00"/>
    <x v="0"/>
    <x v="0"/>
    <x v="2"/>
    <x v="0"/>
    <s v="Free"/>
    <n v="0"/>
    <n v="0"/>
    <n v="0"/>
    <n v="0"/>
    <n v="0"/>
    <n v="0"/>
    <n v="0"/>
    <n v="0"/>
    <m/>
    <n v="52.5"/>
  </r>
  <r>
    <s v="USR-100228"/>
    <d v="2025-02-23T00:00:00"/>
    <x v="0"/>
    <x v="0"/>
    <x v="2"/>
    <x v="1"/>
    <s v="Free"/>
    <n v="0"/>
    <n v="0"/>
    <n v="0"/>
    <n v="0"/>
    <n v="0"/>
    <n v="0"/>
    <n v="0"/>
    <n v="0"/>
    <m/>
    <n v="66.900000000000006"/>
  </r>
  <r>
    <s v="USR-100229"/>
    <d v="2025-01-24T00:00:00"/>
    <x v="0"/>
    <x v="0"/>
    <x v="1"/>
    <x v="1"/>
    <s v="Basic"/>
    <n v="1"/>
    <n v="1"/>
    <n v="1"/>
    <n v="0"/>
    <n v="0"/>
    <n v="1"/>
    <n v="1"/>
    <n v="0"/>
    <m/>
    <n v="32.700000000000003"/>
  </r>
  <r>
    <s v="USR-100230"/>
    <d v="2025-01-16T00:00:00"/>
    <x v="0"/>
    <x v="1"/>
    <x v="1"/>
    <x v="1"/>
    <s v="Premium"/>
    <n v="1"/>
    <n v="1"/>
    <n v="1"/>
    <n v="0"/>
    <n v="0"/>
    <n v="1"/>
    <n v="1"/>
    <n v="0"/>
    <m/>
    <n v="70.599999999999994"/>
  </r>
  <r>
    <s v="USR-100231"/>
    <d v="2025-02-17T00:00:00"/>
    <x v="0"/>
    <x v="0"/>
    <x v="1"/>
    <x v="4"/>
    <s v="Free"/>
    <n v="0"/>
    <n v="0"/>
    <n v="0"/>
    <n v="0"/>
    <n v="0"/>
    <n v="0"/>
    <n v="0"/>
    <n v="0"/>
    <m/>
    <n v="69.400000000000006"/>
  </r>
  <r>
    <s v="USR-100232"/>
    <d v="2025-05-04T00:00:00"/>
    <x v="0"/>
    <x v="0"/>
    <x v="0"/>
    <x v="1"/>
    <s v="Basic"/>
    <n v="1"/>
    <n v="0"/>
    <n v="0"/>
    <n v="0"/>
    <n v="0"/>
    <n v="0"/>
    <n v="0"/>
    <n v="0"/>
    <m/>
    <n v="56.1"/>
  </r>
  <r>
    <s v="USR-100233"/>
    <d v="2025-01-12T00:00:00"/>
    <x v="0"/>
    <x v="1"/>
    <x v="1"/>
    <x v="1"/>
    <s v="Basic"/>
    <n v="0"/>
    <n v="0"/>
    <n v="0"/>
    <n v="0"/>
    <n v="0"/>
    <n v="0"/>
    <n v="0"/>
    <n v="0"/>
    <m/>
    <n v="55.8"/>
  </r>
  <r>
    <s v="USR-100234"/>
    <d v="2025-04-28T00:00:00"/>
    <x v="0"/>
    <x v="0"/>
    <x v="2"/>
    <x v="1"/>
    <s v="Free"/>
    <n v="0"/>
    <n v="0"/>
    <n v="0"/>
    <n v="0"/>
    <n v="0"/>
    <n v="0"/>
    <n v="0"/>
    <n v="0"/>
    <m/>
    <n v="49.3"/>
  </r>
  <r>
    <s v="USR-100235"/>
    <d v="2025-02-26T00:00:00"/>
    <x v="0"/>
    <x v="0"/>
    <x v="1"/>
    <x v="1"/>
    <s v="Free"/>
    <n v="0"/>
    <n v="0"/>
    <n v="0"/>
    <n v="0"/>
    <n v="0"/>
    <n v="0"/>
    <n v="0"/>
    <n v="0"/>
    <m/>
    <n v="71.8"/>
  </r>
  <r>
    <s v="USR-100236"/>
    <d v="2025-03-18T00:00:00"/>
    <x v="0"/>
    <x v="1"/>
    <x v="1"/>
    <x v="4"/>
    <s v="Free"/>
    <n v="1"/>
    <n v="0"/>
    <n v="0"/>
    <n v="0"/>
    <n v="0"/>
    <n v="3"/>
    <n v="1"/>
    <n v="0"/>
    <m/>
    <n v="39.700000000000003"/>
  </r>
  <r>
    <s v="USR-100237"/>
    <d v="2025-03-01T00:00:00"/>
    <x v="0"/>
    <x v="3"/>
    <x v="0"/>
    <x v="1"/>
    <s v="Premium"/>
    <n v="1"/>
    <n v="0"/>
    <n v="0"/>
    <n v="0"/>
    <n v="0"/>
    <n v="0"/>
    <n v="0"/>
    <n v="0"/>
    <m/>
    <n v="45.4"/>
  </r>
  <r>
    <s v="USR-100238"/>
    <d v="2025-04-05T00:00:00"/>
    <x v="0"/>
    <x v="0"/>
    <x v="0"/>
    <x v="4"/>
    <s v="Premium"/>
    <n v="1"/>
    <n v="0"/>
    <n v="0"/>
    <n v="0"/>
    <n v="0"/>
    <n v="0"/>
    <n v="0"/>
    <n v="0"/>
    <m/>
    <n v="69.900000000000006"/>
  </r>
  <r>
    <s v="USR-100239"/>
    <d v="2025-03-12T00:00:00"/>
    <x v="0"/>
    <x v="0"/>
    <x v="0"/>
    <x v="4"/>
    <s v="Free"/>
    <n v="1"/>
    <n v="1"/>
    <n v="1"/>
    <n v="0"/>
    <n v="0"/>
    <n v="0"/>
    <n v="0"/>
    <n v="0"/>
    <m/>
    <n v="56.1"/>
  </r>
  <r>
    <s v="USR-100240"/>
    <d v="2025-03-15T00:00:00"/>
    <x v="0"/>
    <x v="1"/>
    <x v="1"/>
    <x v="3"/>
    <s v="Basic"/>
    <n v="1"/>
    <n v="1"/>
    <n v="0"/>
    <n v="0"/>
    <n v="0"/>
    <n v="0"/>
    <n v="0"/>
    <n v="0"/>
    <m/>
    <n v="45.9"/>
  </r>
  <r>
    <s v="USR-100241"/>
    <d v="2025-02-23T00:00:00"/>
    <x v="0"/>
    <x v="1"/>
    <x v="1"/>
    <x v="0"/>
    <s v="Free"/>
    <n v="0"/>
    <n v="0"/>
    <n v="0"/>
    <n v="0"/>
    <n v="0"/>
    <n v="0"/>
    <n v="0"/>
    <n v="0"/>
    <m/>
    <n v="65.8"/>
  </r>
  <r>
    <s v="USR-100242"/>
    <d v="2025-04-22T00:00:00"/>
    <x v="0"/>
    <x v="0"/>
    <x v="1"/>
    <x v="1"/>
    <s v="Basic"/>
    <n v="1"/>
    <n v="0"/>
    <n v="0"/>
    <n v="0"/>
    <n v="0"/>
    <n v="0"/>
    <n v="0"/>
    <n v="0"/>
    <m/>
    <n v="48.2"/>
  </r>
  <r>
    <s v="USR-100243"/>
    <d v="2025-01-09T00:00:00"/>
    <x v="0"/>
    <x v="2"/>
    <x v="1"/>
    <x v="1"/>
    <s v="Basic"/>
    <n v="1"/>
    <n v="1"/>
    <n v="1"/>
    <n v="0"/>
    <n v="0"/>
    <n v="0"/>
    <n v="0"/>
    <n v="0"/>
    <m/>
    <n v="81.099999999999994"/>
  </r>
  <r>
    <s v="USR-100244"/>
    <d v="2025-03-05T00:00:00"/>
    <x v="0"/>
    <x v="2"/>
    <x v="2"/>
    <x v="4"/>
    <s v="Premium"/>
    <n v="1"/>
    <n v="1"/>
    <n v="0"/>
    <n v="0"/>
    <n v="0"/>
    <n v="0"/>
    <n v="0"/>
    <n v="0"/>
    <m/>
    <n v="53.2"/>
  </r>
  <r>
    <s v="USR-100245"/>
    <d v="2025-01-28T00:00:00"/>
    <x v="0"/>
    <x v="0"/>
    <x v="1"/>
    <x v="4"/>
    <s v="Free"/>
    <n v="1"/>
    <n v="1"/>
    <n v="1"/>
    <n v="0"/>
    <n v="0"/>
    <n v="0"/>
    <n v="0"/>
    <n v="0"/>
    <m/>
    <n v="57.7"/>
  </r>
  <r>
    <s v="USR-100246"/>
    <d v="2025-01-21T00:00:00"/>
    <x v="0"/>
    <x v="1"/>
    <x v="1"/>
    <x v="2"/>
    <s v="Premium"/>
    <n v="1"/>
    <n v="1"/>
    <n v="0"/>
    <n v="0"/>
    <n v="0"/>
    <n v="0"/>
    <n v="0"/>
    <n v="0"/>
    <m/>
    <n v="78.900000000000006"/>
  </r>
  <r>
    <s v="USR-100247"/>
    <d v="2025-03-14T00:00:00"/>
    <x v="0"/>
    <x v="3"/>
    <x v="1"/>
    <x v="3"/>
    <s v="Basic"/>
    <n v="0"/>
    <n v="0"/>
    <n v="0"/>
    <n v="0"/>
    <n v="0"/>
    <n v="0"/>
    <n v="0"/>
    <n v="0"/>
    <m/>
    <n v="55.7"/>
  </r>
  <r>
    <s v="USR-100248"/>
    <d v="2025-02-03T00:00:00"/>
    <x v="0"/>
    <x v="1"/>
    <x v="1"/>
    <x v="2"/>
    <s v="Free"/>
    <n v="0"/>
    <n v="0"/>
    <n v="0"/>
    <n v="0"/>
    <n v="0"/>
    <n v="0"/>
    <n v="0"/>
    <n v="0"/>
    <m/>
    <n v="52.3"/>
  </r>
  <r>
    <s v="USR-100249"/>
    <d v="2025-05-22T00:00:00"/>
    <x v="0"/>
    <x v="0"/>
    <x v="1"/>
    <x v="4"/>
    <s v="Free"/>
    <n v="1"/>
    <n v="0"/>
    <n v="0"/>
    <n v="0"/>
    <n v="0"/>
    <n v="0"/>
    <n v="0"/>
    <n v="0"/>
    <m/>
    <n v="51.5"/>
  </r>
  <r>
    <s v="USR-100250"/>
    <d v="2025-04-25T00:00:00"/>
    <x v="0"/>
    <x v="0"/>
    <x v="0"/>
    <x v="0"/>
    <s v="Free"/>
    <n v="1"/>
    <n v="0"/>
    <n v="0"/>
    <n v="0"/>
    <n v="0"/>
    <n v="0"/>
    <n v="0"/>
    <n v="0"/>
    <m/>
    <n v="70.8"/>
  </r>
  <r>
    <s v="USR-100251"/>
    <d v="2025-01-30T00:00:00"/>
    <x v="0"/>
    <x v="0"/>
    <x v="0"/>
    <x v="0"/>
    <s v="Basic"/>
    <n v="1"/>
    <n v="1"/>
    <n v="1"/>
    <n v="1"/>
    <n v="1250.78"/>
    <n v="0"/>
    <n v="0"/>
    <n v="0"/>
    <n v="10"/>
    <n v="39"/>
  </r>
  <r>
    <s v="USR-100252"/>
    <d v="2025-05-23T00:00:00"/>
    <x v="0"/>
    <x v="1"/>
    <x v="1"/>
    <x v="1"/>
    <s v="Free"/>
    <n v="1"/>
    <n v="0"/>
    <n v="0"/>
    <n v="0"/>
    <n v="0"/>
    <n v="0"/>
    <n v="0"/>
    <n v="0"/>
    <m/>
    <n v="61.6"/>
  </r>
  <r>
    <s v="USR-100253"/>
    <d v="2025-02-14T00:00:00"/>
    <x v="0"/>
    <x v="2"/>
    <x v="0"/>
    <x v="1"/>
    <s v="Free"/>
    <n v="1"/>
    <n v="1"/>
    <n v="1"/>
    <n v="0"/>
    <n v="0"/>
    <n v="0"/>
    <n v="0"/>
    <n v="0"/>
    <m/>
    <n v="46.8"/>
  </r>
  <r>
    <s v="USR-100254"/>
    <d v="2025-03-05T00:00:00"/>
    <x v="0"/>
    <x v="0"/>
    <x v="1"/>
    <x v="2"/>
    <s v="Premium"/>
    <n v="0"/>
    <n v="0"/>
    <n v="0"/>
    <n v="0"/>
    <n v="0"/>
    <n v="1"/>
    <n v="1"/>
    <n v="0"/>
    <m/>
    <n v="58.5"/>
  </r>
  <r>
    <s v="USR-100255"/>
    <d v="2025-05-27T00:00:00"/>
    <x v="0"/>
    <x v="0"/>
    <x v="1"/>
    <x v="2"/>
    <s v="Basic"/>
    <n v="0"/>
    <n v="0"/>
    <n v="0"/>
    <n v="0"/>
    <n v="0"/>
    <n v="0"/>
    <n v="0"/>
    <n v="0"/>
    <m/>
    <n v="70.900000000000006"/>
  </r>
  <r>
    <s v="USR-100256"/>
    <d v="2025-01-07T00:00:00"/>
    <x v="0"/>
    <x v="3"/>
    <x v="1"/>
    <x v="2"/>
    <s v="Free"/>
    <n v="1"/>
    <n v="0"/>
    <n v="0"/>
    <n v="0"/>
    <n v="0"/>
    <n v="0"/>
    <n v="0"/>
    <n v="0"/>
    <m/>
    <n v="48.4"/>
  </r>
  <r>
    <s v="USR-100257"/>
    <d v="2025-04-21T00:00:00"/>
    <x v="0"/>
    <x v="0"/>
    <x v="1"/>
    <x v="0"/>
    <s v="Free"/>
    <n v="1"/>
    <n v="0"/>
    <n v="0"/>
    <n v="0"/>
    <n v="0"/>
    <n v="0"/>
    <n v="0"/>
    <n v="0"/>
    <m/>
    <n v="58"/>
  </r>
  <r>
    <s v="USR-100258"/>
    <d v="2025-05-13T00:00:00"/>
    <x v="0"/>
    <x v="0"/>
    <x v="1"/>
    <x v="2"/>
    <s v="Free"/>
    <n v="0"/>
    <n v="0"/>
    <n v="0"/>
    <n v="0"/>
    <n v="0"/>
    <n v="0"/>
    <n v="0"/>
    <n v="0"/>
    <m/>
    <n v="61.6"/>
  </r>
  <r>
    <s v="USR-100259"/>
    <d v="2025-01-28T00:00:00"/>
    <x v="0"/>
    <x v="2"/>
    <x v="0"/>
    <x v="1"/>
    <s v="Free"/>
    <n v="1"/>
    <n v="0"/>
    <n v="0"/>
    <n v="0"/>
    <n v="0"/>
    <n v="0"/>
    <n v="0"/>
    <n v="0"/>
    <m/>
    <n v="43.2"/>
  </r>
  <r>
    <s v="USR-100260"/>
    <d v="2025-03-16T00:00:00"/>
    <x v="0"/>
    <x v="2"/>
    <x v="0"/>
    <x v="2"/>
    <s v="Basic"/>
    <n v="1"/>
    <n v="0"/>
    <n v="0"/>
    <n v="0"/>
    <n v="0"/>
    <n v="1"/>
    <n v="1"/>
    <n v="0"/>
    <m/>
    <n v="53.3"/>
  </r>
  <r>
    <s v="USR-100261"/>
    <d v="2025-04-10T00:00:00"/>
    <x v="0"/>
    <x v="2"/>
    <x v="0"/>
    <x v="4"/>
    <s v="Basic"/>
    <n v="0"/>
    <n v="0"/>
    <n v="0"/>
    <n v="0"/>
    <n v="0"/>
    <n v="0"/>
    <n v="0"/>
    <n v="0"/>
    <m/>
    <n v="33.9"/>
  </r>
  <r>
    <s v="USR-100262"/>
    <d v="2025-03-15T00:00:00"/>
    <x v="0"/>
    <x v="2"/>
    <x v="0"/>
    <x v="3"/>
    <s v="Free"/>
    <n v="1"/>
    <n v="1"/>
    <n v="1"/>
    <n v="0"/>
    <n v="0"/>
    <n v="0"/>
    <n v="0"/>
    <n v="0"/>
    <m/>
    <n v="35.4"/>
  </r>
  <r>
    <s v="USR-100263"/>
    <d v="2025-04-07T00:00:00"/>
    <x v="0"/>
    <x v="1"/>
    <x v="0"/>
    <x v="1"/>
    <s v="Basic"/>
    <n v="1"/>
    <n v="0"/>
    <n v="0"/>
    <n v="0"/>
    <n v="0"/>
    <n v="0"/>
    <n v="0"/>
    <n v="0"/>
    <m/>
    <n v="45"/>
  </r>
  <r>
    <s v="USR-100264"/>
    <d v="2025-02-12T00:00:00"/>
    <x v="0"/>
    <x v="3"/>
    <x v="1"/>
    <x v="1"/>
    <s v="Free"/>
    <n v="1"/>
    <n v="1"/>
    <n v="0"/>
    <n v="0"/>
    <n v="0"/>
    <n v="0"/>
    <n v="0"/>
    <n v="0"/>
    <m/>
    <n v="86.5"/>
  </r>
  <r>
    <s v="USR-100265"/>
    <d v="2025-05-05T00:00:00"/>
    <x v="0"/>
    <x v="1"/>
    <x v="1"/>
    <x v="4"/>
    <s v="Free"/>
    <n v="0"/>
    <n v="0"/>
    <n v="0"/>
    <n v="0"/>
    <n v="0"/>
    <n v="0"/>
    <n v="0"/>
    <n v="0"/>
    <m/>
    <n v="58.1"/>
  </r>
  <r>
    <s v="USR-100266"/>
    <d v="2025-03-11T00:00:00"/>
    <x v="0"/>
    <x v="1"/>
    <x v="1"/>
    <x v="3"/>
    <s v="Free"/>
    <n v="1"/>
    <n v="0"/>
    <n v="0"/>
    <n v="0"/>
    <n v="0"/>
    <n v="0"/>
    <n v="0"/>
    <n v="0"/>
    <m/>
    <n v="36.1"/>
  </r>
  <r>
    <s v="USR-100267"/>
    <d v="2025-02-10T00:00:00"/>
    <x v="0"/>
    <x v="2"/>
    <x v="1"/>
    <x v="4"/>
    <s v="Free"/>
    <n v="0"/>
    <n v="0"/>
    <n v="0"/>
    <n v="0"/>
    <n v="0"/>
    <n v="0"/>
    <n v="0"/>
    <n v="0"/>
    <m/>
    <n v="62.8"/>
  </r>
  <r>
    <s v="USR-100268"/>
    <d v="2025-04-06T00:00:00"/>
    <x v="0"/>
    <x v="3"/>
    <x v="1"/>
    <x v="1"/>
    <s v="Free"/>
    <n v="0"/>
    <n v="0"/>
    <n v="0"/>
    <n v="0"/>
    <n v="0"/>
    <n v="0"/>
    <n v="0"/>
    <n v="0"/>
    <m/>
    <n v="54.2"/>
  </r>
  <r>
    <s v="USR-100269"/>
    <d v="2025-01-06T00:00:00"/>
    <x v="0"/>
    <x v="2"/>
    <x v="1"/>
    <x v="3"/>
    <s v="Free"/>
    <n v="0"/>
    <n v="0"/>
    <n v="0"/>
    <n v="0"/>
    <n v="0"/>
    <n v="0"/>
    <n v="0"/>
    <n v="0"/>
    <m/>
    <n v="50"/>
  </r>
  <r>
    <s v="USR-100270"/>
    <d v="2025-03-25T00:00:00"/>
    <x v="0"/>
    <x v="2"/>
    <x v="2"/>
    <x v="2"/>
    <s v="Basic"/>
    <n v="1"/>
    <n v="0"/>
    <n v="0"/>
    <n v="0"/>
    <n v="0"/>
    <n v="0"/>
    <n v="0"/>
    <n v="0"/>
    <m/>
    <n v="62"/>
  </r>
  <r>
    <s v="USR-100271"/>
    <d v="2025-02-13T00:00:00"/>
    <x v="0"/>
    <x v="2"/>
    <x v="0"/>
    <x v="3"/>
    <s v="Free"/>
    <n v="1"/>
    <n v="0"/>
    <n v="0"/>
    <n v="0"/>
    <n v="0"/>
    <n v="0"/>
    <n v="0"/>
    <n v="0"/>
    <m/>
    <n v="29.3"/>
  </r>
  <r>
    <s v="USR-100272"/>
    <d v="2025-03-17T00:00:00"/>
    <x v="0"/>
    <x v="1"/>
    <x v="0"/>
    <x v="1"/>
    <s v="Free"/>
    <n v="1"/>
    <n v="0"/>
    <n v="0"/>
    <n v="0"/>
    <n v="0"/>
    <n v="0"/>
    <n v="0"/>
    <n v="0"/>
    <m/>
    <n v="67.900000000000006"/>
  </r>
  <r>
    <s v="USR-100273"/>
    <d v="2025-05-10T00:00:00"/>
    <x v="0"/>
    <x v="0"/>
    <x v="1"/>
    <x v="3"/>
    <s v="Free"/>
    <n v="1"/>
    <n v="1"/>
    <n v="1"/>
    <n v="0"/>
    <n v="0"/>
    <n v="0"/>
    <n v="0"/>
    <n v="0"/>
    <m/>
    <n v="67.599999999999994"/>
  </r>
  <r>
    <s v="USR-100274"/>
    <d v="2025-05-07T00:00:00"/>
    <x v="0"/>
    <x v="3"/>
    <x v="1"/>
    <x v="2"/>
    <s v="Basic"/>
    <n v="0"/>
    <n v="0"/>
    <n v="0"/>
    <n v="0"/>
    <n v="0"/>
    <n v="0"/>
    <n v="0"/>
    <n v="0"/>
    <m/>
    <n v="67.400000000000006"/>
  </r>
  <r>
    <s v="USR-100275"/>
    <d v="2025-02-26T00:00:00"/>
    <x v="0"/>
    <x v="1"/>
    <x v="0"/>
    <x v="2"/>
    <s v="Premium"/>
    <n v="0"/>
    <n v="0"/>
    <n v="0"/>
    <n v="0"/>
    <n v="0"/>
    <n v="2"/>
    <n v="1"/>
    <n v="0"/>
    <m/>
    <n v="53"/>
  </r>
  <r>
    <s v="USR-100276"/>
    <d v="2025-05-11T00:00:00"/>
    <x v="0"/>
    <x v="0"/>
    <x v="1"/>
    <x v="1"/>
    <s v="Basic"/>
    <n v="0"/>
    <n v="0"/>
    <n v="0"/>
    <n v="0"/>
    <n v="0"/>
    <n v="0"/>
    <n v="0"/>
    <n v="0"/>
    <m/>
    <n v="65.5"/>
  </r>
  <r>
    <s v="USR-100277"/>
    <d v="2025-03-20T00:00:00"/>
    <x v="0"/>
    <x v="3"/>
    <x v="1"/>
    <x v="1"/>
    <s v="Basic"/>
    <n v="1"/>
    <n v="1"/>
    <n v="0"/>
    <n v="0"/>
    <n v="0"/>
    <n v="0"/>
    <n v="0"/>
    <n v="0"/>
    <m/>
    <n v="49.6"/>
  </r>
  <r>
    <s v="USR-100278"/>
    <d v="2025-01-19T00:00:00"/>
    <x v="0"/>
    <x v="0"/>
    <x v="1"/>
    <x v="0"/>
    <s v="Free"/>
    <n v="1"/>
    <n v="1"/>
    <n v="0"/>
    <n v="0"/>
    <n v="0"/>
    <n v="0"/>
    <n v="0"/>
    <n v="0"/>
    <m/>
    <n v="74.5"/>
  </r>
  <r>
    <s v="USR-100279"/>
    <d v="2025-03-08T00:00:00"/>
    <x v="0"/>
    <x v="0"/>
    <x v="2"/>
    <x v="2"/>
    <s v="Premium"/>
    <n v="1"/>
    <n v="0"/>
    <n v="0"/>
    <n v="0"/>
    <n v="0"/>
    <n v="1"/>
    <n v="1"/>
    <n v="0"/>
    <m/>
    <n v="46.9"/>
  </r>
  <r>
    <s v="USR-100280"/>
    <d v="2025-04-25T00:00:00"/>
    <x v="0"/>
    <x v="0"/>
    <x v="1"/>
    <x v="1"/>
    <s v="Free"/>
    <n v="0"/>
    <n v="0"/>
    <n v="0"/>
    <n v="0"/>
    <n v="0"/>
    <n v="0"/>
    <n v="0"/>
    <n v="0"/>
    <m/>
    <n v="87.1"/>
  </r>
  <r>
    <s v="USR-100281"/>
    <d v="2025-04-04T00:00:00"/>
    <x v="0"/>
    <x v="0"/>
    <x v="0"/>
    <x v="1"/>
    <s v="Free"/>
    <n v="1"/>
    <n v="0"/>
    <n v="0"/>
    <n v="0"/>
    <n v="0"/>
    <n v="0"/>
    <n v="0"/>
    <n v="0"/>
    <m/>
    <n v="56"/>
  </r>
  <r>
    <s v="USR-100282"/>
    <d v="2025-05-01T00:00:00"/>
    <x v="0"/>
    <x v="2"/>
    <x v="1"/>
    <x v="2"/>
    <s v="Premium"/>
    <n v="1"/>
    <n v="0"/>
    <n v="0"/>
    <n v="0"/>
    <n v="0"/>
    <n v="1"/>
    <n v="1"/>
    <n v="0"/>
    <m/>
    <n v="61.7"/>
  </r>
  <r>
    <s v="USR-100283"/>
    <d v="2025-01-21T00:00:00"/>
    <x v="0"/>
    <x v="3"/>
    <x v="1"/>
    <x v="4"/>
    <s v="Free"/>
    <n v="1"/>
    <n v="0"/>
    <n v="0"/>
    <n v="0"/>
    <n v="0"/>
    <n v="1"/>
    <n v="1"/>
    <n v="0"/>
    <m/>
    <n v="70.5"/>
  </r>
  <r>
    <s v="USR-100284"/>
    <d v="2025-02-10T00:00:00"/>
    <x v="0"/>
    <x v="0"/>
    <x v="0"/>
    <x v="3"/>
    <s v="Basic"/>
    <n v="1"/>
    <n v="0"/>
    <n v="0"/>
    <n v="0"/>
    <n v="0"/>
    <n v="0"/>
    <n v="0"/>
    <n v="0"/>
    <m/>
    <n v="33.4"/>
  </r>
  <r>
    <s v="USR-100285"/>
    <d v="2025-05-06T00:00:00"/>
    <x v="0"/>
    <x v="3"/>
    <x v="0"/>
    <x v="1"/>
    <s v="Free"/>
    <n v="1"/>
    <n v="0"/>
    <n v="0"/>
    <n v="0"/>
    <n v="0"/>
    <n v="0"/>
    <n v="0"/>
    <n v="0"/>
    <m/>
    <n v="57.5"/>
  </r>
  <r>
    <s v="USR-100286"/>
    <d v="2025-02-08T00:00:00"/>
    <x v="0"/>
    <x v="0"/>
    <x v="0"/>
    <x v="2"/>
    <s v="Basic"/>
    <n v="1"/>
    <n v="1"/>
    <n v="0"/>
    <n v="0"/>
    <n v="0"/>
    <n v="0"/>
    <n v="0"/>
    <n v="0"/>
    <m/>
    <n v="85.7"/>
  </r>
  <r>
    <s v="USR-100287"/>
    <d v="2025-05-31T00:00:00"/>
    <x v="0"/>
    <x v="2"/>
    <x v="1"/>
    <x v="4"/>
    <s v="Free"/>
    <n v="1"/>
    <n v="0"/>
    <n v="0"/>
    <n v="0"/>
    <n v="0"/>
    <n v="0"/>
    <n v="0"/>
    <n v="0"/>
    <m/>
    <n v="41.9"/>
  </r>
  <r>
    <s v="USR-100288"/>
    <d v="2025-02-07T00:00:00"/>
    <x v="0"/>
    <x v="1"/>
    <x v="1"/>
    <x v="0"/>
    <s v="Basic"/>
    <n v="1"/>
    <n v="0"/>
    <n v="0"/>
    <n v="0"/>
    <n v="0"/>
    <n v="0"/>
    <n v="0"/>
    <n v="0"/>
    <m/>
    <n v="70.2"/>
  </r>
  <r>
    <s v="USR-100289"/>
    <d v="2025-02-10T00:00:00"/>
    <x v="0"/>
    <x v="0"/>
    <x v="1"/>
    <x v="4"/>
    <s v="Free"/>
    <n v="1"/>
    <n v="0"/>
    <n v="0"/>
    <n v="0"/>
    <n v="0"/>
    <n v="0"/>
    <n v="0"/>
    <n v="0"/>
    <m/>
    <n v="42.6"/>
  </r>
  <r>
    <s v="USR-100290"/>
    <d v="2025-01-31T00:00:00"/>
    <x v="0"/>
    <x v="1"/>
    <x v="1"/>
    <x v="4"/>
    <s v="Basic"/>
    <n v="0"/>
    <n v="0"/>
    <n v="0"/>
    <n v="0"/>
    <n v="0"/>
    <n v="2"/>
    <n v="1"/>
    <n v="0"/>
    <m/>
    <n v="30.4"/>
  </r>
  <r>
    <s v="USR-100291"/>
    <d v="2025-03-16T00:00:00"/>
    <x v="0"/>
    <x v="2"/>
    <x v="1"/>
    <x v="2"/>
    <s v="Basic"/>
    <n v="1"/>
    <n v="0"/>
    <n v="0"/>
    <n v="0"/>
    <n v="0"/>
    <n v="0"/>
    <n v="0"/>
    <n v="0"/>
    <m/>
    <n v="63.7"/>
  </r>
  <r>
    <s v="USR-100292"/>
    <d v="2025-04-24T00:00:00"/>
    <x v="0"/>
    <x v="3"/>
    <x v="1"/>
    <x v="4"/>
    <s v="Basic"/>
    <n v="0"/>
    <n v="0"/>
    <n v="0"/>
    <n v="0"/>
    <n v="0"/>
    <n v="0"/>
    <n v="0"/>
    <n v="0"/>
    <m/>
    <n v="42.7"/>
  </r>
  <r>
    <s v="USR-100293"/>
    <d v="2025-01-28T00:00:00"/>
    <x v="0"/>
    <x v="0"/>
    <x v="1"/>
    <x v="1"/>
    <s v="Free"/>
    <n v="0"/>
    <n v="0"/>
    <n v="0"/>
    <n v="0"/>
    <n v="0"/>
    <n v="0"/>
    <n v="0"/>
    <n v="0"/>
    <m/>
    <n v="74.3"/>
  </r>
  <r>
    <s v="USR-100294"/>
    <d v="2025-02-16T00:00:00"/>
    <x v="0"/>
    <x v="1"/>
    <x v="0"/>
    <x v="0"/>
    <s v="Free"/>
    <n v="1"/>
    <n v="0"/>
    <n v="0"/>
    <n v="0"/>
    <n v="0"/>
    <n v="0"/>
    <n v="0"/>
    <n v="0"/>
    <m/>
    <n v="40.6"/>
  </r>
  <r>
    <s v="USR-100295"/>
    <d v="2025-03-23T00:00:00"/>
    <x v="0"/>
    <x v="2"/>
    <x v="1"/>
    <x v="1"/>
    <s v="Premium"/>
    <n v="0"/>
    <n v="0"/>
    <n v="0"/>
    <n v="0"/>
    <n v="0"/>
    <n v="0"/>
    <n v="0"/>
    <n v="0"/>
    <m/>
    <n v="67"/>
  </r>
  <r>
    <s v="USR-100296"/>
    <d v="2025-05-31T00:00:00"/>
    <x v="0"/>
    <x v="2"/>
    <x v="1"/>
    <x v="2"/>
    <s v="Premium"/>
    <n v="0"/>
    <n v="0"/>
    <n v="0"/>
    <n v="0"/>
    <n v="0"/>
    <n v="0"/>
    <n v="0"/>
    <n v="0"/>
    <m/>
    <n v="51"/>
  </r>
  <r>
    <s v="USR-100297"/>
    <d v="2025-04-13T00:00:00"/>
    <x v="0"/>
    <x v="1"/>
    <x v="1"/>
    <x v="4"/>
    <s v="Basic"/>
    <n v="1"/>
    <n v="1"/>
    <n v="0"/>
    <n v="0"/>
    <n v="0"/>
    <n v="1"/>
    <n v="1"/>
    <n v="0"/>
    <m/>
    <n v="54.8"/>
  </r>
  <r>
    <s v="USR-100298"/>
    <d v="2025-05-14T00:00:00"/>
    <x v="0"/>
    <x v="0"/>
    <x v="2"/>
    <x v="0"/>
    <s v="Basic"/>
    <n v="0"/>
    <n v="0"/>
    <n v="0"/>
    <n v="0"/>
    <n v="0"/>
    <n v="0"/>
    <n v="0"/>
    <n v="0"/>
    <m/>
    <n v="40.799999999999997"/>
  </r>
  <r>
    <s v="USR-100299"/>
    <d v="2025-02-19T00:00:00"/>
    <x v="0"/>
    <x v="2"/>
    <x v="1"/>
    <x v="2"/>
    <s v="Free"/>
    <n v="0"/>
    <n v="0"/>
    <n v="0"/>
    <n v="0"/>
    <n v="0"/>
    <n v="0"/>
    <n v="0"/>
    <n v="0"/>
    <m/>
    <n v="48.8"/>
  </r>
  <r>
    <s v="USR-100300"/>
    <d v="2025-01-24T00:00:00"/>
    <x v="0"/>
    <x v="3"/>
    <x v="1"/>
    <x v="5"/>
    <s v="Basic"/>
    <n v="1"/>
    <n v="1"/>
    <n v="1"/>
    <n v="1"/>
    <n v="1198.69"/>
    <n v="1"/>
    <n v="1"/>
    <n v="0"/>
    <n v="6"/>
    <n v="88.9"/>
  </r>
  <r>
    <s v="USR-100301"/>
    <d v="2025-05-09T00:00:00"/>
    <x v="0"/>
    <x v="0"/>
    <x v="1"/>
    <x v="0"/>
    <s v="Basic"/>
    <n v="1"/>
    <n v="1"/>
    <n v="1"/>
    <n v="0"/>
    <n v="0"/>
    <n v="1"/>
    <n v="1"/>
    <n v="0"/>
    <m/>
    <n v="60.5"/>
  </r>
  <r>
    <s v="USR-100302"/>
    <d v="2025-02-11T00:00:00"/>
    <x v="0"/>
    <x v="0"/>
    <x v="1"/>
    <x v="1"/>
    <s v="Basic"/>
    <n v="1"/>
    <n v="0"/>
    <n v="0"/>
    <n v="0"/>
    <n v="0"/>
    <n v="0"/>
    <n v="0"/>
    <n v="0"/>
    <m/>
    <n v="63.6"/>
  </r>
  <r>
    <s v="USR-100303"/>
    <d v="2025-02-26T00:00:00"/>
    <x v="0"/>
    <x v="0"/>
    <x v="0"/>
    <x v="1"/>
    <s v="Basic"/>
    <n v="1"/>
    <n v="1"/>
    <n v="1"/>
    <n v="1"/>
    <n v="6788.95"/>
    <n v="0"/>
    <n v="0"/>
    <n v="0"/>
    <n v="17"/>
    <n v="58.4"/>
  </r>
  <r>
    <s v="USR-100304"/>
    <d v="2025-02-12T00:00:00"/>
    <x v="0"/>
    <x v="3"/>
    <x v="1"/>
    <x v="4"/>
    <s v="Premium"/>
    <n v="0"/>
    <n v="0"/>
    <n v="0"/>
    <n v="0"/>
    <n v="0"/>
    <n v="0"/>
    <n v="0"/>
    <n v="0"/>
    <m/>
    <n v="52.7"/>
  </r>
  <r>
    <s v="USR-100305"/>
    <d v="2025-01-05T00:00:00"/>
    <x v="0"/>
    <x v="3"/>
    <x v="2"/>
    <x v="4"/>
    <s v="Premium"/>
    <n v="1"/>
    <n v="1"/>
    <n v="1"/>
    <n v="0"/>
    <n v="0"/>
    <n v="2"/>
    <n v="1"/>
    <n v="0"/>
    <m/>
    <n v="48.9"/>
  </r>
  <r>
    <s v="USR-100306"/>
    <d v="2025-05-19T00:00:00"/>
    <x v="0"/>
    <x v="1"/>
    <x v="1"/>
    <x v="1"/>
    <s v="Premium"/>
    <n v="0"/>
    <n v="0"/>
    <n v="0"/>
    <n v="0"/>
    <n v="0"/>
    <n v="0"/>
    <n v="0"/>
    <n v="0"/>
    <m/>
    <n v="79.7"/>
  </r>
  <r>
    <s v="USR-100307"/>
    <d v="2025-02-02T00:00:00"/>
    <x v="0"/>
    <x v="0"/>
    <x v="1"/>
    <x v="4"/>
    <s v="Free"/>
    <n v="1"/>
    <n v="0"/>
    <n v="0"/>
    <n v="0"/>
    <n v="0"/>
    <n v="0"/>
    <n v="0"/>
    <n v="0"/>
    <m/>
    <n v="44.9"/>
  </r>
  <r>
    <s v="USR-100308"/>
    <d v="2025-01-30T00:00:00"/>
    <x v="0"/>
    <x v="1"/>
    <x v="2"/>
    <x v="2"/>
    <s v="Free"/>
    <n v="1"/>
    <n v="1"/>
    <n v="1"/>
    <n v="1"/>
    <n v="409.39"/>
    <n v="0"/>
    <n v="0"/>
    <n v="0"/>
    <n v="10"/>
    <n v="38.799999999999997"/>
  </r>
  <r>
    <s v="USR-100309"/>
    <d v="2025-05-01T00:00:00"/>
    <x v="0"/>
    <x v="3"/>
    <x v="0"/>
    <x v="0"/>
    <s v="Free"/>
    <n v="0"/>
    <n v="0"/>
    <n v="0"/>
    <n v="0"/>
    <n v="0"/>
    <n v="0"/>
    <n v="0"/>
    <n v="0"/>
    <m/>
    <n v="70"/>
  </r>
  <r>
    <s v="USR-100310"/>
    <d v="2025-05-16T00:00:00"/>
    <x v="0"/>
    <x v="3"/>
    <x v="0"/>
    <x v="3"/>
    <s v="Basic"/>
    <n v="1"/>
    <n v="0"/>
    <n v="0"/>
    <n v="0"/>
    <n v="0"/>
    <n v="0"/>
    <n v="0"/>
    <n v="0"/>
    <m/>
    <n v="77.7"/>
  </r>
  <r>
    <s v="USR-100311"/>
    <d v="2025-03-08T00:00:00"/>
    <x v="0"/>
    <x v="1"/>
    <x v="1"/>
    <x v="1"/>
    <s v="Free"/>
    <n v="0"/>
    <n v="0"/>
    <n v="0"/>
    <n v="0"/>
    <n v="0"/>
    <n v="0"/>
    <n v="0"/>
    <n v="0"/>
    <m/>
    <n v="71.2"/>
  </r>
  <r>
    <s v="USR-100312"/>
    <d v="2025-04-04T00:00:00"/>
    <x v="0"/>
    <x v="0"/>
    <x v="1"/>
    <x v="1"/>
    <s v="Basic"/>
    <n v="1"/>
    <n v="0"/>
    <n v="0"/>
    <n v="0"/>
    <n v="0"/>
    <n v="0"/>
    <n v="0"/>
    <n v="0"/>
    <m/>
    <n v="43.8"/>
  </r>
  <r>
    <s v="USR-100313"/>
    <d v="2025-05-30T00:00:00"/>
    <x v="0"/>
    <x v="3"/>
    <x v="2"/>
    <x v="1"/>
    <s v="Free"/>
    <n v="1"/>
    <n v="0"/>
    <n v="0"/>
    <n v="0"/>
    <n v="0"/>
    <n v="0"/>
    <n v="0"/>
    <n v="0"/>
    <m/>
    <n v="50.9"/>
  </r>
  <r>
    <s v="USR-100314"/>
    <d v="2025-01-05T00:00:00"/>
    <x v="0"/>
    <x v="1"/>
    <x v="1"/>
    <x v="1"/>
    <s v="Premium"/>
    <n v="0"/>
    <n v="0"/>
    <n v="0"/>
    <n v="0"/>
    <n v="0"/>
    <n v="0"/>
    <n v="0"/>
    <n v="0"/>
    <m/>
    <n v="58.5"/>
  </r>
  <r>
    <s v="USR-100315"/>
    <d v="2025-01-20T00:00:00"/>
    <x v="0"/>
    <x v="2"/>
    <x v="1"/>
    <x v="1"/>
    <s v="Free"/>
    <n v="1"/>
    <n v="1"/>
    <n v="1"/>
    <n v="0"/>
    <n v="0"/>
    <n v="0"/>
    <n v="0"/>
    <n v="0"/>
    <m/>
    <n v="53.6"/>
  </r>
  <r>
    <s v="USR-100316"/>
    <d v="2025-05-01T00:00:00"/>
    <x v="0"/>
    <x v="2"/>
    <x v="1"/>
    <x v="0"/>
    <s v="Free"/>
    <n v="0"/>
    <n v="0"/>
    <n v="0"/>
    <n v="0"/>
    <n v="0"/>
    <n v="0"/>
    <n v="0"/>
    <n v="0"/>
    <m/>
    <n v="54.9"/>
  </r>
  <r>
    <s v="USR-100317"/>
    <d v="2025-03-05T00:00:00"/>
    <x v="0"/>
    <x v="0"/>
    <x v="0"/>
    <x v="1"/>
    <s v="Premium"/>
    <n v="0"/>
    <n v="0"/>
    <n v="0"/>
    <n v="0"/>
    <n v="0"/>
    <n v="0"/>
    <n v="0"/>
    <n v="0"/>
    <m/>
    <n v="57.3"/>
  </r>
  <r>
    <s v="USR-100318"/>
    <d v="2025-04-01T00:00:00"/>
    <x v="0"/>
    <x v="2"/>
    <x v="0"/>
    <x v="3"/>
    <s v="Free"/>
    <n v="1"/>
    <n v="0"/>
    <n v="0"/>
    <n v="0"/>
    <n v="0"/>
    <n v="0"/>
    <n v="0"/>
    <n v="0"/>
    <m/>
    <n v="52.1"/>
  </r>
  <r>
    <s v="USR-100319"/>
    <d v="2025-05-03T00:00:00"/>
    <x v="0"/>
    <x v="0"/>
    <x v="1"/>
    <x v="1"/>
    <s v="Free"/>
    <n v="1"/>
    <n v="0"/>
    <n v="0"/>
    <n v="0"/>
    <n v="0"/>
    <n v="0"/>
    <n v="0"/>
    <n v="0"/>
    <m/>
    <n v="80"/>
  </r>
  <r>
    <s v="USR-100320"/>
    <d v="2025-03-06T00:00:00"/>
    <x v="0"/>
    <x v="3"/>
    <x v="0"/>
    <x v="2"/>
    <s v="Premium"/>
    <n v="1"/>
    <n v="0"/>
    <n v="0"/>
    <n v="0"/>
    <n v="0"/>
    <n v="0"/>
    <n v="0"/>
    <n v="0"/>
    <m/>
    <n v="39.299999999999997"/>
  </r>
  <r>
    <s v="USR-100321"/>
    <d v="2025-04-01T00:00:00"/>
    <x v="0"/>
    <x v="0"/>
    <x v="0"/>
    <x v="3"/>
    <s v="Premium"/>
    <n v="0"/>
    <n v="0"/>
    <n v="0"/>
    <n v="0"/>
    <n v="0"/>
    <n v="0"/>
    <n v="0"/>
    <n v="0"/>
    <m/>
    <n v="45.7"/>
  </r>
  <r>
    <s v="USR-100322"/>
    <d v="2025-02-09T00:00:00"/>
    <x v="0"/>
    <x v="0"/>
    <x v="0"/>
    <x v="4"/>
    <s v="Basic"/>
    <n v="1"/>
    <n v="0"/>
    <n v="0"/>
    <n v="0"/>
    <n v="0"/>
    <n v="2"/>
    <n v="1"/>
    <n v="0"/>
    <m/>
    <n v="61.2"/>
  </r>
  <r>
    <s v="USR-100323"/>
    <d v="2025-04-12T00:00:00"/>
    <x v="0"/>
    <x v="1"/>
    <x v="1"/>
    <x v="1"/>
    <s v="Basic"/>
    <n v="1"/>
    <n v="1"/>
    <n v="0"/>
    <n v="0"/>
    <n v="0"/>
    <n v="0"/>
    <n v="0"/>
    <n v="0"/>
    <m/>
    <n v="66.2"/>
  </r>
  <r>
    <s v="USR-100324"/>
    <d v="2025-03-18T00:00:00"/>
    <x v="0"/>
    <x v="2"/>
    <x v="1"/>
    <x v="4"/>
    <s v="Free"/>
    <n v="1"/>
    <n v="1"/>
    <n v="1"/>
    <n v="0"/>
    <n v="0"/>
    <n v="0"/>
    <n v="0"/>
    <n v="0"/>
    <m/>
    <n v="61.3"/>
  </r>
  <r>
    <s v="USR-100325"/>
    <d v="2025-04-03T00:00:00"/>
    <x v="0"/>
    <x v="2"/>
    <x v="1"/>
    <x v="2"/>
    <s v="Free"/>
    <n v="1"/>
    <n v="0"/>
    <n v="0"/>
    <n v="0"/>
    <n v="0"/>
    <n v="0"/>
    <n v="0"/>
    <n v="0"/>
    <m/>
    <n v="72.2"/>
  </r>
  <r>
    <s v="USR-100326"/>
    <d v="2025-04-02T00:00:00"/>
    <x v="0"/>
    <x v="1"/>
    <x v="1"/>
    <x v="0"/>
    <s v="Premium"/>
    <n v="1"/>
    <n v="1"/>
    <n v="1"/>
    <n v="0"/>
    <n v="0"/>
    <n v="0"/>
    <n v="0"/>
    <n v="0"/>
    <m/>
    <n v="84"/>
  </r>
  <r>
    <s v="USR-100327"/>
    <d v="2025-05-10T00:00:00"/>
    <x v="0"/>
    <x v="1"/>
    <x v="0"/>
    <x v="0"/>
    <s v="Basic"/>
    <n v="0"/>
    <n v="0"/>
    <n v="0"/>
    <n v="0"/>
    <n v="0"/>
    <n v="0"/>
    <n v="0"/>
    <n v="0"/>
    <m/>
    <n v="59.8"/>
  </r>
  <r>
    <s v="USR-100328"/>
    <d v="2025-04-29T00:00:00"/>
    <x v="0"/>
    <x v="1"/>
    <x v="0"/>
    <x v="2"/>
    <s v="Free"/>
    <n v="1"/>
    <n v="0"/>
    <n v="0"/>
    <n v="0"/>
    <n v="0"/>
    <n v="0"/>
    <n v="0"/>
    <n v="0"/>
    <m/>
    <n v="64.900000000000006"/>
  </r>
  <r>
    <s v="USR-100329"/>
    <d v="2025-02-27T00:00:00"/>
    <x v="0"/>
    <x v="3"/>
    <x v="1"/>
    <x v="2"/>
    <s v="Free"/>
    <n v="1"/>
    <n v="0"/>
    <n v="0"/>
    <n v="0"/>
    <n v="0"/>
    <n v="0"/>
    <n v="0"/>
    <n v="0"/>
    <m/>
    <n v="66.8"/>
  </r>
  <r>
    <s v="USR-100330"/>
    <d v="2025-04-10T00:00:00"/>
    <x v="0"/>
    <x v="0"/>
    <x v="0"/>
    <x v="1"/>
    <s v="Premium"/>
    <n v="0"/>
    <n v="0"/>
    <n v="0"/>
    <n v="0"/>
    <n v="0"/>
    <n v="0"/>
    <n v="0"/>
    <n v="0"/>
    <m/>
    <n v="70.900000000000006"/>
  </r>
  <r>
    <s v="USR-100331"/>
    <d v="2025-02-13T00:00:00"/>
    <x v="0"/>
    <x v="2"/>
    <x v="1"/>
    <x v="1"/>
    <s v="Free"/>
    <n v="1"/>
    <n v="1"/>
    <n v="1"/>
    <n v="1"/>
    <n v="426.82"/>
    <n v="1"/>
    <n v="1"/>
    <n v="0"/>
    <n v="14"/>
    <n v="68.8"/>
  </r>
  <r>
    <s v="USR-100332"/>
    <d v="2025-05-03T00:00:00"/>
    <x v="0"/>
    <x v="0"/>
    <x v="1"/>
    <x v="1"/>
    <s v="Basic"/>
    <n v="1"/>
    <n v="0"/>
    <n v="0"/>
    <n v="0"/>
    <n v="0"/>
    <n v="0"/>
    <n v="0"/>
    <n v="0"/>
    <m/>
    <n v="72.400000000000006"/>
  </r>
  <r>
    <s v="USR-100333"/>
    <d v="2025-03-10T00:00:00"/>
    <x v="0"/>
    <x v="2"/>
    <x v="1"/>
    <x v="1"/>
    <s v="Basic"/>
    <n v="0"/>
    <n v="0"/>
    <n v="0"/>
    <n v="0"/>
    <n v="0"/>
    <n v="0"/>
    <n v="0"/>
    <n v="0"/>
    <m/>
    <n v="63.3"/>
  </r>
  <r>
    <s v="USR-100334"/>
    <d v="2025-01-10T00:00:00"/>
    <x v="0"/>
    <x v="1"/>
    <x v="2"/>
    <x v="4"/>
    <s v="Free"/>
    <n v="1"/>
    <n v="0"/>
    <n v="0"/>
    <n v="0"/>
    <n v="0"/>
    <n v="0"/>
    <n v="0"/>
    <n v="0"/>
    <m/>
    <n v="30.8"/>
  </r>
  <r>
    <s v="USR-100335"/>
    <d v="2025-01-16T00:00:00"/>
    <x v="0"/>
    <x v="3"/>
    <x v="1"/>
    <x v="0"/>
    <s v="Basic"/>
    <n v="1"/>
    <n v="1"/>
    <n v="1"/>
    <n v="1"/>
    <n v="874.55"/>
    <n v="0"/>
    <n v="0"/>
    <n v="0"/>
    <n v="9"/>
    <n v="44.2"/>
  </r>
  <r>
    <s v="USR-100336"/>
    <d v="2025-02-11T00:00:00"/>
    <x v="0"/>
    <x v="3"/>
    <x v="0"/>
    <x v="1"/>
    <s v="Premium"/>
    <n v="1"/>
    <n v="1"/>
    <n v="1"/>
    <n v="1"/>
    <n v="2206.88"/>
    <n v="0"/>
    <n v="0"/>
    <n v="0"/>
    <n v="10"/>
    <n v="56.2"/>
  </r>
  <r>
    <s v="USR-100337"/>
    <d v="2025-04-13T00:00:00"/>
    <x v="0"/>
    <x v="1"/>
    <x v="1"/>
    <x v="1"/>
    <s v="Free"/>
    <n v="0"/>
    <n v="0"/>
    <n v="0"/>
    <n v="0"/>
    <n v="0"/>
    <n v="0"/>
    <n v="0"/>
    <n v="0"/>
    <m/>
    <n v="40.4"/>
  </r>
  <r>
    <s v="USR-100338"/>
    <d v="2025-02-08T00:00:00"/>
    <x v="0"/>
    <x v="2"/>
    <x v="1"/>
    <x v="2"/>
    <s v="Free"/>
    <n v="1"/>
    <n v="1"/>
    <n v="1"/>
    <n v="0"/>
    <n v="0"/>
    <n v="0"/>
    <n v="0"/>
    <n v="0"/>
    <m/>
    <n v="68.099999999999994"/>
  </r>
  <r>
    <s v="USR-100339"/>
    <d v="2025-03-31T00:00:00"/>
    <x v="0"/>
    <x v="1"/>
    <x v="0"/>
    <x v="3"/>
    <s v="Free"/>
    <n v="1"/>
    <n v="0"/>
    <n v="0"/>
    <n v="0"/>
    <n v="0"/>
    <n v="0"/>
    <n v="0"/>
    <n v="0"/>
    <m/>
    <n v="86.3"/>
  </r>
  <r>
    <s v="USR-100340"/>
    <d v="2025-01-31T00:00:00"/>
    <x v="0"/>
    <x v="1"/>
    <x v="0"/>
    <x v="3"/>
    <s v="Free"/>
    <n v="1"/>
    <n v="1"/>
    <n v="0"/>
    <n v="0"/>
    <n v="0"/>
    <n v="0"/>
    <n v="0"/>
    <n v="0"/>
    <m/>
    <n v="42.9"/>
  </r>
  <r>
    <s v="USR-100341"/>
    <d v="2025-05-08T00:00:00"/>
    <x v="0"/>
    <x v="1"/>
    <x v="2"/>
    <x v="1"/>
    <s v="Free"/>
    <n v="0"/>
    <n v="0"/>
    <n v="0"/>
    <n v="0"/>
    <n v="0"/>
    <n v="0"/>
    <n v="0"/>
    <n v="0"/>
    <m/>
    <n v="61.4"/>
  </r>
  <r>
    <s v="USR-100342"/>
    <d v="2025-03-15T00:00:00"/>
    <x v="0"/>
    <x v="0"/>
    <x v="1"/>
    <x v="2"/>
    <s v="Free"/>
    <n v="1"/>
    <n v="0"/>
    <n v="0"/>
    <n v="0"/>
    <n v="0"/>
    <n v="1"/>
    <n v="1"/>
    <n v="0"/>
    <m/>
    <n v="73.3"/>
  </r>
  <r>
    <s v="USR-100343"/>
    <d v="2025-01-13T00:00:00"/>
    <x v="0"/>
    <x v="3"/>
    <x v="1"/>
    <x v="3"/>
    <s v="Basic"/>
    <n v="1"/>
    <n v="0"/>
    <n v="0"/>
    <n v="0"/>
    <n v="0"/>
    <n v="0"/>
    <n v="0"/>
    <n v="0"/>
    <m/>
    <n v="59.4"/>
  </r>
  <r>
    <s v="USR-100344"/>
    <d v="2025-03-07T00:00:00"/>
    <x v="0"/>
    <x v="3"/>
    <x v="2"/>
    <x v="1"/>
    <s v="Basic"/>
    <n v="1"/>
    <n v="0"/>
    <n v="0"/>
    <n v="0"/>
    <n v="0"/>
    <n v="0"/>
    <n v="0"/>
    <n v="0"/>
    <m/>
    <n v="35.200000000000003"/>
  </r>
  <r>
    <s v="USR-100345"/>
    <d v="2025-02-10T00:00:00"/>
    <x v="0"/>
    <x v="3"/>
    <x v="1"/>
    <x v="4"/>
    <s v="Premium"/>
    <n v="1"/>
    <n v="1"/>
    <n v="0"/>
    <n v="0"/>
    <n v="0"/>
    <n v="0"/>
    <n v="0"/>
    <n v="0"/>
    <m/>
    <n v="55.3"/>
  </r>
  <r>
    <s v="USR-100346"/>
    <d v="2025-03-12T00:00:00"/>
    <x v="0"/>
    <x v="2"/>
    <x v="1"/>
    <x v="2"/>
    <s v="Free"/>
    <n v="0"/>
    <n v="0"/>
    <n v="0"/>
    <n v="0"/>
    <n v="0"/>
    <n v="0"/>
    <n v="0"/>
    <n v="0"/>
    <m/>
    <n v="37.5"/>
  </r>
  <r>
    <s v="USR-100347"/>
    <d v="2025-01-03T00:00:00"/>
    <x v="0"/>
    <x v="3"/>
    <x v="0"/>
    <x v="2"/>
    <s v="Free"/>
    <n v="0"/>
    <n v="0"/>
    <n v="0"/>
    <n v="0"/>
    <n v="0"/>
    <n v="1"/>
    <n v="1"/>
    <n v="0"/>
    <m/>
    <n v="66.400000000000006"/>
  </r>
  <r>
    <s v="USR-100348"/>
    <d v="2025-04-28T00:00:00"/>
    <x v="0"/>
    <x v="0"/>
    <x v="2"/>
    <x v="4"/>
    <s v="Basic"/>
    <n v="1"/>
    <n v="0"/>
    <n v="0"/>
    <n v="0"/>
    <n v="0"/>
    <n v="0"/>
    <n v="0"/>
    <n v="0"/>
    <m/>
    <n v="61.9"/>
  </r>
  <r>
    <s v="USR-100349"/>
    <d v="2025-04-17T00:00:00"/>
    <x v="0"/>
    <x v="2"/>
    <x v="1"/>
    <x v="1"/>
    <s v="Free"/>
    <n v="0"/>
    <n v="0"/>
    <n v="0"/>
    <n v="0"/>
    <n v="0"/>
    <n v="0"/>
    <n v="0"/>
    <n v="0"/>
    <m/>
    <n v="56"/>
  </r>
  <r>
    <s v="USR-100350"/>
    <d v="2025-05-23T00:00:00"/>
    <x v="0"/>
    <x v="3"/>
    <x v="0"/>
    <x v="4"/>
    <s v="Basic"/>
    <n v="1"/>
    <n v="0"/>
    <n v="0"/>
    <n v="0"/>
    <n v="0"/>
    <n v="0"/>
    <n v="0"/>
    <n v="0"/>
    <m/>
    <n v="55.5"/>
  </r>
  <r>
    <s v="USR-100351"/>
    <d v="2025-02-19T00:00:00"/>
    <x v="0"/>
    <x v="1"/>
    <x v="2"/>
    <x v="3"/>
    <s v="Basic"/>
    <n v="1"/>
    <n v="0"/>
    <n v="0"/>
    <n v="0"/>
    <n v="0"/>
    <n v="0"/>
    <n v="0"/>
    <n v="0"/>
    <m/>
    <n v="37.200000000000003"/>
  </r>
  <r>
    <s v="USR-100352"/>
    <d v="2025-01-18T00:00:00"/>
    <x v="0"/>
    <x v="3"/>
    <x v="0"/>
    <x v="1"/>
    <s v="Free"/>
    <n v="1"/>
    <n v="1"/>
    <n v="0"/>
    <n v="0"/>
    <n v="0"/>
    <n v="1"/>
    <n v="1"/>
    <n v="0"/>
    <m/>
    <n v="70.5"/>
  </r>
  <r>
    <s v="USR-100353"/>
    <d v="2025-04-17T00:00:00"/>
    <x v="0"/>
    <x v="0"/>
    <x v="1"/>
    <x v="1"/>
    <s v="Free"/>
    <n v="0"/>
    <n v="0"/>
    <n v="0"/>
    <n v="0"/>
    <n v="0"/>
    <n v="0"/>
    <n v="0"/>
    <n v="0"/>
    <m/>
    <n v="61.2"/>
  </r>
  <r>
    <s v="USR-100354"/>
    <d v="2025-04-12T00:00:00"/>
    <x v="0"/>
    <x v="2"/>
    <x v="2"/>
    <x v="4"/>
    <s v="Free"/>
    <n v="1"/>
    <n v="1"/>
    <n v="1"/>
    <n v="0"/>
    <n v="0"/>
    <n v="0"/>
    <n v="0"/>
    <n v="0"/>
    <m/>
    <n v="64.599999999999994"/>
  </r>
  <r>
    <s v="USR-100355"/>
    <d v="2025-05-16T00:00:00"/>
    <x v="0"/>
    <x v="2"/>
    <x v="1"/>
    <x v="0"/>
    <s v="Free"/>
    <n v="1"/>
    <n v="1"/>
    <n v="0"/>
    <n v="0"/>
    <n v="0"/>
    <n v="0"/>
    <n v="0"/>
    <n v="0"/>
    <m/>
    <n v="91.7"/>
  </r>
  <r>
    <s v="USR-100356"/>
    <d v="2025-03-24T00:00:00"/>
    <x v="0"/>
    <x v="1"/>
    <x v="1"/>
    <x v="4"/>
    <s v="Free"/>
    <n v="0"/>
    <n v="0"/>
    <n v="0"/>
    <n v="0"/>
    <n v="0"/>
    <n v="0"/>
    <n v="0"/>
    <n v="0"/>
    <m/>
    <n v="46"/>
  </r>
  <r>
    <s v="USR-100357"/>
    <d v="2025-02-16T00:00:00"/>
    <x v="0"/>
    <x v="1"/>
    <x v="1"/>
    <x v="1"/>
    <s v="Basic"/>
    <n v="0"/>
    <n v="0"/>
    <n v="0"/>
    <n v="0"/>
    <n v="0"/>
    <n v="0"/>
    <n v="0"/>
    <n v="0"/>
    <m/>
    <n v="50.8"/>
  </r>
  <r>
    <s v="USR-100358"/>
    <d v="2025-03-19T00:00:00"/>
    <x v="0"/>
    <x v="0"/>
    <x v="2"/>
    <x v="1"/>
    <s v="Free"/>
    <n v="1"/>
    <n v="1"/>
    <n v="1"/>
    <n v="0"/>
    <n v="0"/>
    <n v="0"/>
    <n v="0"/>
    <n v="0"/>
    <m/>
    <n v="52.8"/>
  </r>
  <r>
    <s v="USR-100359"/>
    <d v="2025-04-21T00:00:00"/>
    <x v="0"/>
    <x v="3"/>
    <x v="1"/>
    <x v="1"/>
    <s v="Basic"/>
    <n v="1"/>
    <n v="1"/>
    <n v="1"/>
    <n v="0"/>
    <n v="0"/>
    <n v="0"/>
    <n v="0"/>
    <n v="0"/>
    <m/>
    <n v="63"/>
  </r>
  <r>
    <s v="USR-100360"/>
    <d v="2025-01-11T00:00:00"/>
    <x v="0"/>
    <x v="1"/>
    <x v="1"/>
    <x v="1"/>
    <s v="Free"/>
    <n v="0"/>
    <n v="0"/>
    <n v="0"/>
    <n v="0"/>
    <n v="0"/>
    <n v="0"/>
    <n v="0"/>
    <n v="0"/>
    <m/>
    <n v="28.4"/>
  </r>
  <r>
    <s v="USR-100361"/>
    <d v="2025-04-24T00:00:00"/>
    <x v="0"/>
    <x v="1"/>
    <x v="0"/>
    <x v="1"/>
    <s v="Free"/>
    <n v="1"/>
    <n v="1"/>
    <n v="0"/>
    <n v="0"/>
    <n v="0"/>
    <n v="0"/>
    <n v="0"/>
    <n v="0"/>
    <m/>
    <n v="65.599999999999994"/>
  </r>
  <r>
    <s v="USR-100362"/>
    <d v="2025-03-13T00:00:00"/>
    <x v="0"/>
    <x v="0"/>
    <x v="1"/>
    <x v="4"/>
    <s v="Premium"/>
    <n v="1"/>
    <n v="1"/>
    <n v="1"/>
    <n v="0"/>
    <n v="0"/>
    <n v="0"/>
    <n v="0"/>
    <n v="0"/>
    <m/>
    <n v="54.7"/>
  </r>
  <r>
    <s v="USR-100363"/>
    <d v="2025-01-30T00:00:00"/>
    <x v="0"/>
    <x v="0"/>
    <x v="1"/>
    <x v="4"/>
    <s v="Basic"/>
    <n v="0"/>
    <n v="0"/>
    <n v="0"/>
    <n v="0"/>
    <n v="0"/>
    <n v="0"/>
    <n v="0"/>
    <n v="0"/>
    <m/>
    <n v="36.1"/>
  </r>
  <r>
    <s v="USR-100364"/>
    <d v="2025-05-08T00:00:00"/>
    <x v="0"/>
    <x v="3"/>
    <x v="1"/>
    <x v="4"/>
    <s v="Basic"/>
    <n v="1"/>
    <n v="1"/>
    <n v="1"/>
    <n v="0"/>
    <n v="0"/>
    <n v="0"/>
    <n v="0"/>
    <n v="0"/>
    <m/>
    <n v="70.400000000000006"/>
  </r>
  <r>
    <s v="USR-100365"/>
    <d v="2025-01-08T00:00:00"/>
    <x v="0"/>
    <x v="2"/>
    <x v="0"/>
    <x v="4"/>
    <s v="Free"/>
    <n v="1"/>
    <n v="0"/>
    <n v="0"/>
    <n v="0"/>
    <n v="0"/>
    <n v="0"/>
    <n v="0"/>
    <n v="0"/>
    <m/>
    <n v="56.4"/>
  </r>
  <r>
    <s v="USR-100366"/>
    <d v="2025-05-03T00:00:00"/>
    <x v="0"/>
    <x v="3"/>
    <x v="1"/>
    <x v="1"/>
    <s v="Free"/>
    <n v="1"/>
    <n v="0"/>
    <n v="0"/>
    <n v="0"/>
    <n v="0"/>
    <n v="0"/>
    <n v="0"/>
    <n v="0"/>
    <m/>
    <n v="79.2"/>
  </r>
  <r>
    <s v="USR-100367"/>
    <d v="2025-02-12T00:00:00"/>
    <x v="0"/>
    <x v="2"/>
    <x v="1"/>
    <x v="2"/>
    <s v="Free"/>
    <n v="1"/>
    <n v="1"/>
    <n v="1"/>
    <n v="0"/>
    <n v="0"/>
    <n v="0"/>
    <n v="0"/>
    <n v="0"/>
    <m/>
    <n v="60.1"/>
  </r>
  <r>
    <s v="USR-100368"/>
    <d v="2025-02-25T00:00:00"/>
    <x v="0"/>
    <x v="3"/>
    <x v="2"/>
    <x v="1"/>
    <s v="Free"/>
    <n v="0"/>
    <n v="0"/>
    <n v="0"/>
    <n v="0"/>
    <n v="0"/>
    <n v="0"/>
    <n v="0"/>
    <n v="0"/>
    <m/>
    <n v="58"/>
  </r>
  <r>
    <s v="USR-100369"/>
    <d v="2025-04-14T00:00:00"/>
    <x v="0"/>
    <x v="3"/>
    <x v="1"/>
    <x v="3"/>
    <s v="Free"/>
    <n v="1"/>
    <n v="1"/>
    <n v="1"/>
    <n v="0"/>
    <n v="0"/>
    <n v="0"/>
    <n v="0"/>
    <n v="0"/>
    <m/>
    <n v="69"/>
  </r>
  <r>
    <s v="USR-100370"/>
    <d v="2025-01-08T00:00:00"/>
    <x v="0"/>
    <x v="0"/>
    <x v="1"/>
    <x v="3"/>
    <s v="Premium"/>
    <n v="1"/>
    <n v="1"/>
    <n v="1"/>
    <n v="0"/>
    <n v="0"/>
    <n v="1"/>
    <n v="1"/>
    <n v="0"/>
    <m/>
    <n v="80.8"/>
  </r>
  <r>
    <s v="USR-100371"/>
    <d v="2025-03-14T00:00:00"/>
    <x v="0"/>
    <x v="2"/>
    <x v="1"/>
    <x v="0"/>
    <s v="Free"/>
    <n v="0"/>
    <n v="0"/>
    <n v="0"/>
    <n v="0"/>
    <n v="0"/>
    <n v="0"/>
    <n v="0"/>
    <n v="0"/>
    <m/>
    <n v="32.799999999999997"/>
  </r>
  <r>
    <s v="USR-100372"/>
    <d v="2025-04-29T00:00:00"/>
    <x v="0"/>
    <x v="0"/>
    <x v="0"/>
    <x v="2"/>
    <s v="Premium"/>
    <n v="1"/>
    <n v="0"/>
    <n v="0"/>
    <n v="0"/>
    <n v="0"/>
    <n v="0"/>
    <n v="0"/>
    <n v="0"/>
    <m/>
    <n v="56"/>
  </r>
  <r>
    <s v="USR-100373"/>
    <d v="2025-05-01T00:00:00"/>
    <x v="0"/>
    <x v="2"/>
    <x v="0"/>
    <x v="4"/>
    <s v="Free"/>
    <n v="1"/>
    <n v="0"/>
    <n v="0"/>
    <n v="0"/>
    <n v="0"/>
    <n v="0"/>
    <n v="0"/>
    <n v="0"/>
    <m/>
    <n v="76.400000000000006"/>
  </r>
  <r>
    <s v="USR-100374"/>
    <d v="2025-03-19T00:00:00"/>
    <x v="0"/>
    <x v="0"/>
    <x v="1"/>
    <x v="3"/>
    <s v="Free"/>
    <n v="1"/>
    <n v="0"/>
    <n v="0"/>
    <n v="0"/>
    <n v="0"/>
    <n v="0"/>
    <n v="0"/>
    <n v="0"/>
    <m/>
    <n v="28.5"/>
  </r>
  <r>
    <s v="USR-100375"/>
    <d v="2025-05-01T00:00:00"/>
    <x v="0"/>
    <x v="3"/>
    <x v="0"/>
    <x v="4"/>
    <s v="Basic"/>
    <n v="1"/>
    <n v="1"/>
    <n v="1"/>
    <n v="0"/>
    <n v="0"/>
    <n v="0"/>
    <n v="0"/>
    <n v="0"/>
    <m/>
    <n v="48.3"/>
  </r>
  <r>
    <s v="USR-100376"/>
    <d v="2025-03-14T00:00:00"/>
    <x v="0"/>
    <x v="1"/>
    <x v="1"/>
    <x v="1"/>
    <s v="Free"/>
    <n v="1"/>
    <n v="1"/>
    <n v="0"/>
    <n v="0"/>
    <n v="0"/>
    <n v="0"/>
    <n v="0"/>
    <n v="0"/>
    <m/>
    <n v="43.4"/>
  </r>
  <r>
    <s v="USR-100377"/>
    <d v="2025-03-23T00:00:00"/>
    <x v="0"/>
    <x v="0"/>
    <x v="1"/>
    <x v="2"/>
    <s v="Free"/>
    <n v="0"/>
    <n v="0"/>
    <n v="0"/>
    <n v="0"/>
    <n v="0"/>
    <n v="0"/>
    <n v="0"/>
    <n v="0"/>
    <m/>
    <n v="43"/>
  </r>
  <r>
    <s v="USR-100378"/>
    <d v="2025-02-08T00:00:00"/>
    <x v="0"/>
    <x v="2"/>
    <x v="1"/>
    <x v="3"/>
    <s v="Basic"/>
    <n v="1"/>
    <n v="1"/>
    <n v="1"/>
    <n v="0"/>
    <n v="0"/>
    <n v="0"/>
    <n v="0"/>
    <n v="0"/>
    <m/>
    <n v="91.8"/>
  </r>
  <r>
    <s v="USR-100379"/>
    <d v="2025-04-15T00:00:00"/>
    <x v="0"/>
    <x v="1"/>
    <x v="2"/>
    <x v="2"/>
    <s v="Basic"/>
    <n v="1"/>
    <n v="0"/>
    <n v="0"/>
    <n v="0"/>
    <n v="0"/>
    <n v="1"/>
    <n v="1"/>
    <n v="0"/>
    <m/>
    <n v="69.3"/>
  </r>
  <r>
    <s v="USR-100380"/>
    <d v="2025-01-03T00:00:00"/>
    <x v="0"/>
    <x v="3"/>
    <x v="0"/>
    <x v="2"/>
    <s v="Basic"/>
    <n v="1"/>
    <n v="0"/>
    <n v="0"/>
    <n v="0"/>
    <n v="0"/>
    <n v="0"/>
    <n v="0"/>
    <n v="0"/>
    <m/>
    <n v="58.9"/>
  </r>
  <r>
    <s v="USR-100381"/>
    <d v="2025-03-23T00:00:00"/>
    <x v="0"/>
    <x v="1"/>
    <x v="1"/>
    <x v="4"/>
    <s v="Free"/>
    <n v="1"/>
    <n v="1"/>
    <n v="1"/>
    <n v="0"/>
    <n v="0"/>
    <n v="0"/>
    <n v="0"/>
    <n v="0"/>
    <m/>
    <n v="76"/>
  </r>
  <r>
    <s v="USR-100382"/>
    <d v="2025-05-27T00:00:00"/>
    <x v="0"/>
    <x v="3"/>
    <x v="1"/>
    <x v="3"/>
    <s v="Premium"/>
    <n v="1"/>
    <n v="0"/>
    <n v="0"/>
    <n v="0"/>
    <n v="0"/>
    <n v="0"/>
    <n v="0"/>
    <n v="0"/>
    <m/>
    <n v="46"/>
  </r>
  <r>
    <s v="USR-100383"/>
    <d v="2025-04-30T00:00:00"/>
    <x v="0"/>
    <x v="2"/>
    <x v="1"/>
    <x v="1"/>
    <s v="Free"/>
    <n v="1"/>
    <n v="0"/>
    <n v="0"/>
    <n v="0"/>
    <n v="0"/>
    <n v="0"/>
    <n v="0"/>
    <n v="0"/>
    <m/>
    <n v="54.1"/>
  </r>
  <r>
    <s v="USR-100384"/>
    <d v="2025-03-07T00:00:00"/>
    <x v="0"/>
    <x v="1"/>
    <x v="1"/>
    <x v="4"/>
    <s v="Basic"/>
    <n v="1"/>
    <n v="0"/>
    <n v="0"/>
    <n v="0"/>
    <n v="0"/>
    <n v="0"/>
    <n v="0"/>
    <n v="0"/>
    <m/>
    <n v="82.4"/>
  </r>
  <r>
    <s v="USR-100385"/>
    <d v="2025-05-10T00:00:00"/>
    <x v="0"/>
    <x v="3"/>
    <x v="1"/>
    <x v="1"/>
    <s v="Basic"/>
    <n v="1"/>
    <n v="1"/>
    <n v="1"/>
    <n v="0"/>
    <n v="0"/>
    <n v="0"/>
    <n v="0"/>
    <n v="0"/>
    <m/>
    <n v="71.900000000000006"/>
  </r>
  <r>
    <s v="USR-100386"/>
    <d v="2025-05-22T00:00:00"/>
    <x v="0"/>
    <x v="2"/>
    <x v="1"/>
    <x v="1"/>
    <s v="Free"/>
    <n v="0"/>
    <n v="0"/>
    <n v="0"/>
    <n v="0"/>
    <n v="0"/>
    <n v="2"/>
    <n v="1"/>
    <n v="0"/>
    <m/>
    <n v="38"/>
  </r>
  <r>
    <s v="USR-100387"/>
    <d v="2025-02-09T00:00:00"/>
    <x v="0"/>
    <x v="2"/>
    <x v="1"/>
    <x v="2"/>
    <s v="Free"/>
    <n v="1"/>
    <n v="1"/>
    <n v="0"/>
    <n v="0"/>
    <n v="0"/>
    <n v="0"/>
    <n v="0"/>
    <n v="0"/>
    <m/>
    <n v="43.7"/>
  </r>
  <r>
    <s v="USR-100388"/>
    <d v="2025-05-30T00:00:00"/>
    <x v="0"/>
    <x v="1"/>
    <x v="0"/>
    <x v="1"/>
    <s v="Premium"/>
    <n v="1"/>
    <n v="0"/>
    <n v="0"/>
    <n v="0"/>
    <n v="0"/>
    <n v="1"/>
    <n v="1"/>
    <n v="0"/>
    <m/>
    <n v="32.200000000000003"/>
  </r>
  <r>
    <s v="USR-100389"/>
    <d v="2025-05-01T00:00:00"/>
    <x v="0"/>
    <x v="3"/>
    <x v="1"/>
    <x v="1"/>
    <s v="Premium"/>
    <n v="1"/>
    <n v="0"/>
    <n v="0"/>
    <n v="0"/>
    <n v="0"/>
    <n v="0"/>
    <n v="0"/>
    <n v="0"/>
    <m/>
    <n v="61"/>
  </r>
  <r>
    <s v="USR-100390"/>
    <d v="2025-01-03T00:00:00"/>
    <x v="0"/>
    <x v="3"/>
    <x v="1"/>
    <x v="2"/>
    <s v="Free"/>
    <n v="1"/>
    <n v="0"/>
    <n v="0"/>
    <n v="0"/>
    <n v="0"/>
    <n v="0"/>
    <n v="0"/>
    <n v="0"/>
    <m/>
    <n v="49"/>
  </r>
  <r>
    <s v="USR-100391"/>
    <d v="2025-02-13T00:00:00"/>
    <x v="0"/>
    <x v="2"/>
    <x v="1"/>
    <x v="1"/>
    <s v="Free"/>
    <n v="0"/>
    <n v="0"/>
    <n v="0"/>
    <n v="0"/>
    <n v="0"/>
    <n v="0"/>
    <n v="0"/>
    <n v="0"/>
    <m/>
    <n v="48.1"/>
  </r>
  <r>
    <s v="USR-100392"/>
    <d v="2025-01-14T00:00:00"/>
    <x v="0"/>
    <x v="3"/>
    <x v="0"/>
    <x v="1"/>
    <s v="Free"/>
    <n v="0"/>
    <n v="0"/>
    <n v="0"/>
    <n v="0"/>
    <n v="0"/>
    <n v="2"/>
    <n v="1"/>
    <n v="0"/>
    <m/>
    <n v="46.3"/>
  </r>
  <r>
    <s v="USR-100393"/>
    <d v="2025-02-24T00:00:00"/>
    <x v="0"/>
    <x v="0"/>
    <x v="1"/>
    <x v="3"/>
    <s v="Free"/>
    <n v="0"/>
    <n v="0"/>
    <n v="0"/>
    <n v="0"/>
    <n v="0"/>
    <n v="0"/>
    <n v="0"/>
    <n v="0"/>
    <m/>
    <n v="64"/>
  </r>
  <r>
    <s v="USR-100394"/>
    <d v="2025-05-16T00:00:00"/>
    <x v="0"/>
    <x v="1"/>
    <x v="0"/>
    <x v="1"/>
    <s v="Basic"/>
    <n v="1"/>
    <n v="1"/>
    <n v="0"/>
    <n v="0"/>
    <n v="0"/>
    <n v="0"/>
    <n v="0"/>
    <n v="0"/>
    <m/>
    <n v="56.2"/>
  </r>
  <r>
    <s v="USR-100395"/>
    <d v="2025-04-29T00:00:00"/>
    <x v="0"/>
    <x v="0"/>
    <x v="1"/>
    <x v="2"/>
    <s v="Free"/>
    <n v="1"/>
    <n v="1"/>
    <n v="1"/>
    <n v="0"/>
    <n v="0"/>
    <n v="0"/>
    <n v="0"/>
    <n v="0"/>
    <m/>
    <n v="77.5"/>
  </r>
  <r>
    <s v="USR-100396"/>
    <d v="2025-04-30T00:00:00"/>
    <x v="0"/>
    <x v="3"/>
    <x v="0"/>
    <x v="0"/>
    <s v="Basic"/>
    <n v="1"/>
    <n v="0"/>
    <n v="0"/>
    <n v="0"/>
    <n v="0"/>
    <n v="0"/>
    <n v="0"/>
    <n v="0"/>
    <m/>
    <n v="59.9"/>
  </r>
  <r>
    <s v="USR-100397"/>
    <d v="2025-01-09T00:00:00"/>
    <x v="0"/>
    <x v="3"/>
    <x v="0"/>
    <x v="1"/>
    <s v="Free"/>
    <n v="1"/>
    <n v="1"/>
    <n v="0"/>
    <n v="0"/>
    <n v="0"/>
    <n v="0"/>
    <n v="0"/>
    <n v="0"/>
    <m/>
    <n v="63"/>
  </r>
  <r>
    <s v="USR-100398"/>
    <d v="2025-04-25T00:00:00"/>
    <x v="0"/>
    <x v="3"/>
    <x v="1"/>
    <x v="1"/>
    <s v="Free"/>
    <n v="1"/>
    <n v="1"/>
    <n v="0"/>
    <n v="0"/>
    <n v="0"/>
    <n v="0"/>
    <n v="0"/>
    <n v="0"/>
    <m/>
    <n v="76.5"/>
  </r>
  <r>
    <s v="USR-100399"/>
    <d v="2025-03-12T00:00:00"/>
    <x v="0"/>
    <x v="0"/>
    <x v="0"/>
    <x v="2"/>
    <s v="Free"/>
    <n v="1"/>
    <n v="0"/>
    <n v="0"/>
    <n v="0"/>
    <n v="0"/>
    <n v="0"/>
    <n v="0"/>
    <n v="0"/>
    <m/>
    <n v="39.700000000000003"/>
  </r>
  <r>
    <s v="USR-100400"/>
    <d v="2025-03-20T00:00:00"/>
    <x v="0"/>
    <x v="0"/>
    <x v="1"/>
    <x v="1"/>
    <s v="Free"/>
    <n v="1"/>
    <n v="1"/>
    <n v="0"/>
    <n v="0"/>
    <n v="0"/>
    <n v="0"/>
    <n v="0"/>
    <n v="0"/>
    <m/>
    <n v="80.2"/>
  </r>
  <r>
    <s v="USR-100401"/>
    <d v="2025-02-18T00:00:00"/>
    <x v="0"/>
    <x v="1"/>
    <x v="1"/>
    <x v="2"/>
    <s v="Free"/>
    <n v="1"/>
    <n v="0"/>
    <n v="0"/>
    <n v="0"/>
    <n v="0"/>
    <n v="0"/>
    <n v="0"/>
    <n v="0"/>
    <m/>
    <n v="72.2"/>
  </r>
  <r>
    <s v="USR-100402"/>
    <d v="2025-01-22T00:00:00"/>
    <x v="0"/>
    <x v="0"/>
    <x v="1"/>
    <x v="4"/>
    <s v="Basic"/>
    <n v="0"/>
    <n v="0"/>
    <n v="0"/>
    <n v="0"/>
    <n v="0"/>
    <n v="0"/>
    <n v="0"/>
    <n v="0"/>
    <m/>
    <n v="56"/>
  </r>
  <r>
    <s v="USR-100403"/>
    <d v="2025-02-08T00:00:00"/>
    <x v="0"/>
    <x v="1"/>
    <x v="1"/>
    <x v="0"/>
    <s v="Basic"/>
    <n v="1"/>
    <n v="1"/>
    <n v="1"/>
    <n v="0"/>
    <n v="0"/>
    <n v="0"/>
    <n v="0"/>
    <n v="0"/>
    <m/>
    <n v="69.099999999999994"/>
  </r>
  <r>
    <s v="USR-100404"/>
    <d v="2025-01-20T00:00:00"/>
    <x v="0"/>
    <x v="0"/>
    <x v="1"/>
    <x v="0"/>
    <s v="Premium"/>
    <n v="0"/>
    <n v="0"/>
    <n v="0"/>
    <n v="0"/>
    <n v="0"/>
    <n v="1"/>
    <n v="1"/>
    <n v="0"/>
    <m/>
    <n v="70.599999999999994"/>
  </r>
  <r>
    <s v="USR-100405"/>
    <d v="2025-04-22T00:00:00"/>
    <x v="0"/>
    <x v="1"/>
    <x v="0"/>
    <x v="3"/>
    <s v="Free"/>
    <n v="1"/>
    <n v="0"/>
    <n v="0"/>
    <n v="0"/>
    <n v="0"/>
    <n v="0"/>
    <n v="0"/>
    <n v="0"/>
    <m/>
    <n v="57.9"/>
  </r>
  <r>
    <s v="USR-100406"/>
    <d v="2025-01-22T00:00:00"/>
    <x v="0"/>
    <x v="2"/>
    <x v="1"/>
    <x v="1"/>
    <s v="Basic"/>
    <n v="1"/>
    <n v="1"/>
    <n v="0"/>
    <n v="0"/>
    <n v="0"/>
    <n v="0"/>
    <n v="0"/>
    <n v="0"/>
    <m/>
    <n v="41.4"/>
  </r>
  <r>
    <s v="USR-100407"/>
    <d v="2025-05-11T00:00:00"/>
    <x v="0"/>
    <x v="1"/>
    <x v="1"/>
    <x v="1"/>
    <s v="Basic"/>
    <n v="1"/>
    <n v="0"/>
    <n v="0"/>
    <n v="0"/>
    <n v="0"/>
    <n v="0"/>
    <n v="0"/>
    <n v="0"/>
    <m/>
    <n v="60.9"/>
  </r>
  <r>
    <s v="USR-100408"/>
    <d v="2025-02-06T00:00:00"/>
    <x v="0"/>
    <x v="3"/>
    <x v="1"/>
    <x v="1"/>
    <s v="Basic"/>
    <n v="0"/>
    <n v="0"/>
    <n v="0"/>
    <n v="0"/>
    <n v="0"/>
    <n v="1"/>
    <n v="1"/>
    <n v="0"/>
    <m/>
    <n v="63.8"/>
  </r>
  <r>
    <s v="USR-100409"/>
    <d v="2025-02-21T00:00:00"/>
    <x v="0"/>
    <x v="0"/>
    <x v="0"/>
    <x v="1"/>
    <s v="Premium"/>
    <n v="1"/>
    <n v="0"/>
    <n v="0"/>
    <n v="0"/>
    <n v="0"/>
    <n v="0"/>
    <n v="0"/>
    <n v="0"/>
    <m/>
    <n v="79.2"/>
  </r>
  <r>
    <s v="USR-100410"/>
    <d v="2025-01-13T00:00:00"/>
    <x v="0"/>
    <x v="1"/>
    <x v="1"/>
    <x v="0"/>
    <s v="Premium"/>
    <n v="1"/>
    <n v="1"/>
    <n v="1"/>
    <n v="0"/>
    <n v="0"/>
    <n v="0"/>
    <n v="0"/>
    <n v="0"/>
    <m/>
    <n v="53.3"/>
  </r>
  <r>
    <s v="USR-100411"/>
    <d v="2025-03-07T00:00:00"/>
    <x v="0"/>
    <x v="0"/>
    <x v="1"/>
    <x v="3"/>
    <s v="Premium"/>
    <n v="1"/>
    <n v="1"/>
    <n v="1"/>
    <n v="1"/>
    <n v="2144.8200000000002"/>
    <n v="0"/>
    <n v="0"/>
    <n v="0"/>
    <n v="6"/>
    <n v="52.3"/>
  </r>
  <r>
    <s v="USR-100412"/>
    <d v="2025-02-26T00:00:00"/>
    <x v="0"/>
    <x v="1"/>
    <x v="0"/>
    <x v="1"/>
    <s v="Basic"/>
    <n v="1"/>
    <n v="1"/>
    <n v="0"/>
    <n v="0"/>
    <n v="0"/>
    <n v="0"/>
    <n v="0"/>
    <n v="0"/>
    <m/>
    <n v="62.4"/>
  </r>
  <r>
    <s v="USR-100413"/>
    <d v="2025-05-05T00:00:00"/>
    <x v="0"/>
    <x v="0"/>
    <x v="1"/>
    <x v="3"/>
    <s v="Premium"/>
    <n v="1"/>
    <n v="0"/>
    <n v="0"/>
    <n v="0"/>
    <n v="0"/>
    <n v="0"/>
    <n v="0"/>
    <n v="0"/>
    <m/>
    <n v="45.5"/>
  </r>
  <r>
    <s v="USR-100414"/>
    <d v="2025-01-08T00:00:00"/>
    <x v="0"/>
    <x v="2"/>
    <x v="0"/>
    <x v="1"/>
    <s v="Basic"/>
    <n v="0"/>
    <n v="0"/>
    <n v="0"/>
    <n v="0"/>
    <n v="0"/>
    <n v="1"/>
    <n v="1"/>
    <n v="0"/>
    <m/>
    <n v="72.599999999999994"/>
  </r>
  <r>
    <s v="USR-100415"/>
    <d v="2025-03-19T00:00:00"/>
    <x v="0"/>
    <x v="3"/>
    <x v="1"/>
    <x v="0"/>
    <s v="Premium"/>
    <n v="1"/>
    <n v="1"/>
    <n v="1"/>
    <n v="0"/>
    <n v="0"/>
    <n v="0"/>
    <n v="0"/>
    <n v="0"/>
    <m/>
    <n v="50.1"/>
  </r>
  <r>
    <s v="USR-100416"/>
    <d v="2025-01-30T00:00:00"/>
    <x v="0"/>
    <x v="2"/>
    <x v="0"/>
    <x v="2"/>
    <s v="Free"/>
    <n v="1"/>
    <n v="1"/>
    <n v="1"/>
    <n v="0"/>
    <n v="0"/>
    <n v="2"/>
    <n v="1"/>
    <n v="0"/>
    <m/>
    <n v="58.1"/>
  </r>
  <r>
    <s v="USR-100417"/>
    <d v="2025-04-28T00:00:00"/>
    <x v="0"/>
    <x v="2"/>
    <x v="1"/>
    <x v="1"/>
    <s v="Basic"/>
    <n v="1"/>
    <n v="0"/>
    <n v="0"/>
    <n v="0"/>
    <n v="0"/>
    <n v="0"/>
    <n v="0"/>
    <n v="0"/>
    <m/>
    <n v="42.9"/>
  </r>
  <r>
    <s v="USR-100418"/>
    <d v="2025-03-07T00:00:00"/>
    <x v="0"/>
    <x v="0"/>
    <x v="1"/>
    <x v="3"/>
    <s v="Basic"/>
    <n v="0"/>
    <n v="0"/>
    <n v="0"/>
    <n v="0"/>
    <n v="0"/>
    <n v="0"/>
    <n v="0"/>
    <n v="0"/>
    <m/>
    <n v="69.7"/>
  </r>
  <r>
    <s v="USR-100419"/>
    <d v="2025-04-07T00:00:00"/>
    <x v="0"/>
    <x v="0"/>
    <x v="0"/>
    <x v="1"/>
    <s v="Free"/>
    <n v="0"/>
    <n v="0"/>
    <n v="0"/>
    <n v="0"/>
    <n v="0"/>
    <n v="0"/>
    <n v="0"/>
    <n v="0"/>
    <m/>
    <n v="63.3"/>
  </r>
  <r>
    <s v="USR-100420"/>
    <d v="2025-05-08T00:00:00"/>
    <x v="0"/>
    <x v="0"/>
    <x v="0"/>
    <x v="1"/>
    <s v="Premium"/>
    <n v="1"/>
    <n v="0"/>
    <n v="0"/>
    <n v="0"/>
    <n v="0"/>
    <n v="0"/>
    <n v="0"/>
    <n v="0"/>
    <m/>
    <n v="71.2"/>
  </r>
  <r>
    <s v="USR-100421"/>
    <d v="2025-04-15T00:00:00"/>
    <x v="0"/>
    <x v="3"/>
    <x v="1"/>
    <x v="0"/>
    <s v="Free"/>
    <n v="1"/>
    <n v="0"/>
    <n v="0"/>
    <n v="0"/>
    <n v="0"/>
    <n v="0"/>
    <n v="0"/>
    <n v="0"/>
    <m/>
    <n v="39.1"/>
  </r>
  <r>
    <s v="USR-100422"/>
    <d v="2025-04-20T00:00:00"/>
    <x v="0"/>
    <x v="2"/>
    <x v="0"/>
    <x v="4"/>
    <s v="Free"/>
    <n v="1"/>
    <n v="0"/>
    <n v="0"/>
    <n v="0"/>
    <n v="0"/>
    <n v="0"/>
    <n v="0"/>
    <n v="0"/>
    <m/>
    <n v="42.6"/>
  </r>
  <r>
    <s v="USR-100423"/>
    <d v="2025-05-30T00:00:00"/>
    <x v="0"/>
    <x v="3"/>
    <x v="2"/>
    <x v="1"/>
    <s v="Free"/>
    <n v="0"/>
    <n v="0"/>
    <n v="0"/>
    <n v="0"/>
    <n v="0"/>
    <n v="0"/>
    <n v="0"/>
    <n v="0"/>
    <m/>
    <n v="74.400000000000006"/>
  </r>
  <r>
    <s v="USR-100424"/>
    <d v="2025-02-13T00:00:00"/>
    <x v="0"/>
    <x v="1"/>
    <x v="1"/>
    <x v="3"/>
    <s v="Free"/>
    <n v="0"/>
    <n v="0"/>
    <n v="0"/>
    <n v="0"/>
    <n v="0"/>
    <n v="0"/>
    <n v="0"/>
    <n v="0"/>
    <m/>
    <n v="55.6"/>
  </r>
  <r>
    <s v="USR-100425"/>
    <d v="2025-04-28T00:00:00"/>
    <x v="0"/>
    <x v="1"/>
    <x v="1"/>
    <x v="4"/>
    <s v="Free"/>
    <n v="1"/>
    <n v="0"/>
    <n v="0"/>
    <n v="0"/>
    <n v="0"/>
    <n v="0"/>
    <n v="0"/>
    <n v="0"/>
    <m/>
    <n v="35.799999999999997"/>
  </r>
  <r>
    <s v="USR-100426"/>
    <d v="2025-02-12T00:00:00"/>
    <x v="0"/>
    <x v="0"/>
    <x v="1"/>
    <x v="2"/>
    <s v="Basic"/>
    <n v="1"/>
    <n v="0"/>
    <n v="0"/>
    <n v="0"/>
    <n v="0"/>
    <n v="1"/>
    <n v="1"/>
    <n v="0"/>
    <m/>
    <n v="28.2"/>
  </r>
  <r>
    <s v="USR-100427"/>
    <d v="2025-02-12T00:00:00"/>
    <x v="0"/>
    <x v="2"/>
    <x v="1"/>
    <x v="1"/>
    <s v="Free"/>
    <n v="0"/>
    <n v="0"/>
    <n v="0"/>
    <n v="0"/>
    <n v="0"/>
    <n v="2"/>
    <n v="1"/>
    <n v="0"/>
    <m/>
    <n v="44.4"/>
  </r>
  <r>
    <s v="USR-100428"/>
    <d v="2025-03-27T00:00:00"/>
    <x v="0"/>
    <x v="0"/>
    <x v="1"/>
    <x v="0"/>
    <s v="Premium"/>
    <n v="1"/>
    <n v="0"/>
    <n v="0"/>
    <n v="0"/>
    <n v="0"/>
    <n v="0"/>
    <n v="0"/>
    <n v="0"/>
    <m/>
    <n v="49.9"/>
  </r>
  <r>
    <s v="USR-100429"/>
    <d v="2025-04-12T00:00:00"/>
    <x v="0"/>
    <x v="3"/>
    <x v="0"/>
    <x v="1"/>
    <s v="Free"/>
    <n v="0"/>
    <n v="0"/>
    <n v="0"/>
    <n v="0"/>
    <n v="0"/>
    <n v="0"/>
    <n v="0"/>
    <n v="0"/>
    <m/>
    <n v="40.4"/>
  </r>
  <r>
    <s v="USR-100430"/>
    <d v="2025-01-30T00:00:00"/>
    <x v="0"/>
    <x v="1"/>
    <x v="1"/>
    <x v="4"/>
    <s v="Free"/>
    <n v="0"/>
    <n v="0"/>
    <n v="0"/>
    <n v="0"/>
    <n v="0"/>
    <n v="0"/>
    <n v="0"/>
    <n v="0"/>
    <m/>
    <n v="60.4"/>
  </r>
  <r>
    <s v="USR-100431"/>
    <d v="2025-05-28T00:00:00"/>
    <x v="0"/>
    <x v="1"/>
    <x v="1"/>
    <x v="4"/>
    <s v="Premium"/>
    <n v="0"/>
    <n v="0"/>
    <n v="0"/>
    <n v="0"/>
    <n v="0"/>
    <n v="1"/>
    <n v="1"/>
    <n v="0"/>
    <m/>
    <n v="52.4"/>
  </r>
  <r>
    <s v="USR-100432"/>
    <d v="2025-05-01T00:00:00"/>
    <x v="0"/>
    <x v="3"/>
    <x v="1"/>
    <x v="1"/>
    <s v="Basic"/>
    <n v="1"/>
    <n v="1"/>
    <n v="0"/>
    <n v="0"/>
    <n v="0"/>
    <n v="0"/>
    <n v="0"/>
    <n v="0"/>
    <m/>
    <n v="48.8"/>
  </r>
  <r>
    <s v="USR-100433"/>
    <d v="2025-02-03T00:00:00"/>
    <x v="0"/>
    <x v="0"/>
    <x v="2"/>
    <x v="0"/>
    <s v="Basic"/>
    <n v="1"/>
    <n v="0"/>
    <n v="0"/>
    <n v="0"/>
    <n v="0"/>
    <n v="0"/>
    <n v="0"/>
    <n v="0"/>
    <m/>
    <n v="60.9"/>
  </r>
  <r>
    <s v="USR-100434"/>
    <d v="2025-01-10T00:00:00"/>
    <x v="0"/>
    <x v="3"/>
    <x v="0"/>
    <x v="4"/>
    <s v="Basic"/>
    <n v="0"/>
    <n v="0"/>
    <n v="0"/>
    <n v="0"/>
    <n v="0"/>
    <n v="0"/>
    <n v="0"/>
    <n v="0"/>
    <m/>
    <n v="68.2"/>
  </r>
  <r>
    <s v="USR-100435"/>
    <d v="2025-05-02T00:00:00"/>
    <x v="0"/>
    <x v="0"/>
    <x v="0"/>
    <x v="1"/>
    <s v="Basic"/>
    <n v="1"/>
    <n v="0"/>
    <n v="0"/>
    <n v="0"/>
    <n v="0"/>
    <n v="0"/>
    <n v="0"/>
    <n v="0"/>
    <m/>
    <n v="65.599999999999994"/>
  </r>
  <r>
    <s v="USR-100436"/>
    <d v="2025-05-26T00:00:00"/>
    <x v="0"/>
    <x v="0"/>
    <x v="0"/>
    <x v="1"/>
    <s v="Basic"/>
    <n v="1"/>
    <n v="0"/>
    <n v="0"/>
    <n v="0"/>
    <n v="0"/>
    <n v="0"/>
    <n v="0"/>
    <n v="0"/>
    <m/>
    <n v="65.400000000000006"/>
  </r>
  <r>
    <s v="USR-100437"/>
    <d v="2025-01-12T00:00:00"/>
    <x v="0"/>
    <x v="1"/>
    <x v="1"/>
    <x v="1"/>
    <s v="Basic"/>
    <n v="1"/>
    <n v="0"/>
    <n v="0"/>
    <n v="0"/>
    <n v="0"/>
    <n v="0"/>
    <n v="0"/>
    <n v="0"/>
    <m/>
    <n v="78.900000000000006"/>
  </r>
  <r>
    <s v="USR-100438"/>
    <d v="2025-05-27T00:00:00"/>
    <x v="0"/>
    <x v="2"/>
    <x v="1"/>
    <x v="2"/>
    <s v="Basic"/>
    <n v="1"/>
    <n v="1"/>
    <n v="1"/>
    <n v="0"/>
    <n v="0"/>
    <n v="0"/>
    <n v="0"/>
    <n v="0"/>
    <m/>
    <n v="78.3"/>
  </r>
  <r>
    <s v="USR-100439"/>
    <d v="2025-05-22T00:00:00"/>
    <x v="0"/>
    <x v="1"/>
    <x v="0"/>
    <x v="0"/>
    <s v="Basic"/>
    <n v="0"/>
    <n v="0"/>
    <n v="0"/>
    <n v="0"/>
    <n v="0"/>
    <n v="0"/>
    <n v="0"/>
    <n v="0"/>
    <m/>
    <n v="49.2"/>
  </r>
  <r>
    <s v="USR-100440"/>
    <d v="2025-04-01T00:00:00"/>
    <x v="0"/>
    <x v="2"/>
    <x v="1"/>
    <x v="4"/>
    <s v="Premium"/>
    <n v="1"/>
    <n v="1"/>
    <n v="1"/>
    <n v="1"/>
    <n v="1518.83"/>
    <n v="0"/>
    <n v="0"/>
    <n v="0"/>
    <n v="9"/>
    <n v="32.200000000000003"/>
  </r>
  <r>
    <s v="USR-100441"/>
    <d v="2025-01-22T00:00:00"/>
    <x v="0"/>
    <x v="0"/>
    <x v="1"/>
    <x v="2"/>
    <s v="Basic"/>
    <n v="1"/>
    <n v="1"/>
    <n v="1"/>
    <n v="0"/>
    <n v="0"/>
    <n v="0"/>
    <n v="0"/>
    <n v="0"/>
    <m/>
    <n v="46.3"/>
  </r>
  <r>
    <s v="USR-100442"/>
    <d v="2025-05-24T00:00:00"/>
    <x v="0"/>
    <x v="2"/>
    <x v="1"/>
    <x v="2"/>
    <s v="Basic"/>
    <n v="1"/>
    <n v="0"/>
    <n v="0"/>
    <n v="0"/>
    <n v="0"/>
    <n v="0"/>
    <n v="0"/>
    <n v="0"/>
    <m/>
    <n v="55.7"/>
  </r>
  <r>
    <s v="USR-100443"/>
    <d v="2025-04-25T00:00:00"/>
    <x v="0"/>
    <x v="3"/>
    <x v="1"/>
    <x v="4"/>
    <s v="Free"/>
    <n v="1"/>
    <n v="0"/>
    <n v="0"/>
    <n v="0"/>
    <n v="0"/>
    <n v="0"/>
    <n v="0"/>
    <n v="0"/>
    <m/>
    <n v="44.5"/>
  </r>
  <r>
    <s v="USR-100444"/>
    <d v="2025-04-12T00:00:00"/>
    <x v="0"/>
    <x v="1"/>
    <x v="0"/>
    <x v="3"/>
    <s v="Free"/>
    <n v="1"/>
    <n v="1"/>
    <n v="1"/>
    <n v="0"/>
    <n v="0"/>
    <n v="1"/>
    <n v="1"/>
    <n v="0"/>
    <m/>
    <n v="47.9"/>
  </r>
  <r>
    <s v="USR-100445"/>
    <d v="2025-04-23T00:00:00"/>
    <x v="0"/>
    <x v="3"/>
    <x v="1"/>
    <x v="1"/>
    <s v="Premium"/>
    <n v="1"/>
    <n v="0"/>
    <n v="0"/>
    <n v="0"/>
    <n v="0"/>
    <n v="0"/>
    <n v="0"/>
    <n v="0"/>
    <m/>
    <n v="43.9"/>
  </r>
  <r>
    <s v="USR-100446"/>
    <d v="2025-03-30T00:00:00"/>
    <x v="0"/>
    <x v="0"/>
    <x v="0"/>
    <x v="3"/>
    <s v="Free"/>
    <n v="1"/>
    <n v="1"/>
    <n v="1"/>
    <n v="0"/>
    <n v="0"/>
    <n v="1"/>
    <n v="1"/>
    <n v="0"/>
    <m/>
    <n v="67.7"/>
  </r>
  <r>
    <s v="USR-100447"/>
    <d v="2025-01-18T00:00:00"/>
    <x v="0"/>
    <x v="2"/>
    <x v="1"/>
    <x v="3"/>
    <s v="Basic"/>
    <n v="0"/>
    <n v="0"/>
    <n v="0"/>
    <n v="0"/>
    <n v="0"/>
    <n v="0"/>
    <n v="0"/>
    <n v="0"/>
    <m/>
    <n v="43.7"/>
  </r>
  <r>
    <s v="USR-100448"/>
    <d v="2025-04-09T00:00:00"/>
    <x v="0"/>
    <x v="2"/>
    <x v="1"/>
    <x v="1"/>
    <s v="Free"/>
    <n v="1"/>
    <n v="0"/>
    <n v="0"/>
    <n v="0"/>
    <n v="0"/>
    <n v="0"/>
    <n v="0"/>
    <n v="0"/>
    <m/>
    <n v="68.8"/>
  </r>
  <r>
    <s v="USR-100449"/>
    <d v="2025-01-11T00:00:00"/>
    <x v="0"/>
    <x v="1"/>
    <x v="1"/>
    <x v="1"/>
    <s v="Free"/>
    <n v="1"/>
    <n v="1"/>
    <n v="1"/>
    <n v="0"/>
    <n v="0"/>
    <n v="0"/>
    <n v="0"/>
    <n v="0"/>
    <m/>
    <n v="59.2"/>
  </r>
  <r>
    <s v="USR-100450"/>
    <d v="2025-03-05T00:00:00"/>
    <x v="0"/>
    <x v="2"/>
    <x v="1"/>
    <x v="2"/>
    <s v="Free"/>
    <n v="1"/>
    <n v="0"/>
    <n v="0"/>
    <n v="0"/>
    <n v="0"/>
    <n v="0"/>
    <n v="0"/>
    <n v="0"/>
    <m/>
    <n v="48.6"/>
  </r>
  <r>
    <s v="USR-100451"/>
    <d v="2025-02-17T00:00:00"/>
    <x v="0"/>
    <x v="0"/>
    <x v="2"/>
    <x v="4"/>
    <s v="Free"/>
    <n v="1"/>
    <n v="1"/>
    <n v="1"/>
    <n v="0"/>
    <n v="0"/>
    <n v="0"/>
    <n v="0"/>
    <n v="0"/>
    <m/>
    <n v="56.9"/>
  </r>
  <r>
    <s v="USR-100452"/>
    <d v="2025-05-07T00:00:00"/>
    <x v="0"/>
    <x v="0"/>
    <x v="0"/>
    <x v="2"/>
    <s v="Free"/>
    <n v="0"/>
    <n v="0"/>
    <n v="0"/>
    <n v="0"/>
    <n v="0"/>
    <n v="0"/>
    <n v="0"/>
    <n v="0"/>
    <m/>
    <n v="55.8"/>
  </r>
  <r>
    <s v="USR-100453"/>
    <d v="2025-04-10T00:00:00"/>
    <x v="0"/>
    <x v="2"/>
    <x v="1"/>
    <x v="2"/>
    <s v="Premium"/>
    <n v="0"/>
    <n v="0"/>
    <n v="0"/>
    <n v="0"/>
    <n v="0"/>
    <n v="0"/>
    <n v="0"/>
    <n v="0"/>
    <m/>
    <n v="63.3"/>
  </r>
  <r>
    <s v="USR-100454"/>
    <d v="2025-04-21T00:00:00"/>
    <x v="0"/>
    <x v="0"/>
    <x v="1"/>
    <x v="4"/>
    <s v="Free"/>
    <n v="1"/>
    <n v="0"/>
    <n v="0"/>
    <n v="0"/>
    <n v="0"/>
    <n v="0"/>
    <n v="0"/>
    <n v="0"/>
    <m/>
    <n v="52.2"/>
  </r>
  <r>
    <s v="USR-100455"/>
    <d v="2025-02-25T00:00:00"/>
    <x v="0"/>
    <x v="3"/>
    <x v="2"/>
    <x v="5"/>
    <s v="Free"/>
    <n v="0"/>
    <n v="0"/>
    <n v="0"/>
    <n v="0"/>
    <n v="0"/>
    <n v="0"/>
    <n v="0"/>
    <n v="0"/>
    <m/>
    <n v="51.5"/>
  </r>
  <r>
    <s v="USR-100456"/>
    <d v="2025-05-14T00:00:00"/>
    <x v="0"/>
    <x v="2"/>
    <x v="0"/>
    <x v="1"/>
    <s v="Free"/>
    <n v="0"/>
    <n v="0"/>
    <n v="0"/>
    <n v="0"/>
    <n v="0"/>
    <n v="0"/>
    <n v="0"/>
    <n v="0"/>
    <m/>
    <n v="50.3"/>
  </r>
  <r>
    <s v="USR-100457"/>
    <d v="2025-03-10T00:00:00"/>
    <x v="0"/>
    <x v="0"/>
    <x v="1"/>
    <x v="0"/>
    <s v="Basic"/>
    <n v="1"/>
    <n v="0"/>
    <n v="0"/>
    <n v="0"/>
    <n v="0"/>
    <n v="1"/>
    <n v="1"/>
    <n v="0"/>
    <m/>
    <n v="35.4"/>
  </r>
  <r>
    <s v="USR-100458"/>
    <d v="2025-01-31T00:00:00"/>
    <x v="0"/>
    <x v="1"/>
    <x v="0"/>
    <x v="1"/>
    <s v="Premium"/>
    <n v="1"/>
    <n v="0"/>
    <n v="0"/>
    <n v="0"/>
    <n v="0"/>
    <n v="1"/>
    <n v="1"/>
    <n v="0"/>
    <m/>
    <n v="54.1"/>
  </r>
  <r>
    <s v="USR-100459"/>
    <d v="2025-01-17T00:00:00"/>
    <x v="0"/>
    <x v="3"/>
    <x v="1"/>
    <x v="1"/>
    <s v="Premium"/>
    <n v="1"/>
    <n v="0"/>
    <n v="0"/>
    <n v="0"/>
    <n v="0"/>
    <n v="0"/>
    <n v="0"/>
    <n v="0"/>
    <m/>
    <n v="56.2"/>
  </r>
  <r>
    <s v="USR-100460"/>
    <d v="2025-03-12T00:00:00"/>
    <x v="0"/>
    <x v="3"/>
    <x v="1"/>
    <x v="2"/>
    <s v="Free"/>
    <n v="0"/>
    <n v="0"/>
    <n v="0"/>
    <n v="0"/>
    <n v="0"/>
    <n v="3"/>
    <n v="1"/>
    <n v="0"/>
    <m/>
    <n v="43.7"/>
  </r>
  <r>
    <s v="USR-100461"/>
    <d v="2025-02-28T00:00:00"/>
    <x v="0"/>
    <x v="1"/>
    <x v="0"/>
    <x v="1"/>
    <s v="Premium"/>
    <n v="1"/>
    <n v="1"/>
    <n v="0"/>
    <n v="0"/>
    <n v="0"/>
    <n v="0"/>
    <n v="0"/>
    <n v="0"/>
    <m/>
    <n v="51.3"/>
  </r>
  <r>
    <s v="USR-100462"/>
    <d v="2025-05-19T00:00:00"/>
    <x v="0"/>
    <x v="0"/>
    <x v="3"/>
    <x v="1"/>
    <s v="Basic"/>
    <n v="1"/>
    <n v="0"/>
    <n v="0"/>
    <n v="0"/>
    <n v="0"/>
    <n v="0"/>
    <n v="0"/>
    <n v="0"/>
    <m/>
    <n v="50.5"/>
  </r>
  <r>
    <s v="USR-100463"/>
    <d v="2025-02-23T00:00:00"/>
    <x v="0"/>
    <x v="0"/>
    <x v="1"/>
    <x v="3"/>
    <s v="Basic"/>
    <n v="1"/>
    <n v="0"/>
    <n v="0"/>
    <n v="0"/>
    <n v="0"/>
    <n v="0"/>
    <n v="0"/>
    <n v="0"/>
    <m/>
    <n v="57.3"/>
  </r>
  <r>
    <s v="USR-100464"/>
    <d v="2025-02-20T00:00:00"/>
    <x v="0"/>
    <x v="1"/>
    <x v="0"/>
    <x v="1"/>
    <s v="Free"/>
    <n v="1"/>
    <n v="1"/>
    <n v="1"/>
    <n v="0"/>
    <n v="0"/>
    <n v="0"/>
    <n v="0"/>
    <n v="0"/>
    <m/>
    <n v="58.4"/>
  </r>
  <r>
    <s v="USR-100465"/>
    <d v="2025-04-12T00:00:00"/>
    <x v="0"/>
    <x v="0"/>
    <x v="1"/>
    <x v="5"/>
    <s v="Free"/>
    <n v="0"/>
    <n v="0"/>
    <n v="0"/>
    <n v="0"/>
    <n v="0"/>
    <n v="0"/>
    <n v="0"/>
    <n v="0"/>
    <m/>
    <n v="56.5"/>
  </r>
  <r>
    <s v="USR-100466"/>
    <d v="2025-01-08T00:00:00"/>
    <x v="0"/>
    <x v="1"/>
    <x v="1"/>
    <x v="0"/>
    <s v="Free"/>
    <n v="0"/>
    <n v="0"/>
    <n v="0"/>
    <n v="0"/>
    <n v="0"/>
    <n v="0"/>
    <n v="0"/>
    <n v="0"/>
    <m/>
    <n v="69.599999999999994"/>
  </r>
  <r>
    <s v="USR-100467"/>
    <d v="2025-02-13T00:00:00"/>
    <x v="0"/>
    <x v="1"/>
    <x v="1"/>
    <x v="1"/>
    <s v="Basic"/>
    <n v="0"/>
    <n v="0"/>
    <n v="0"/>
    <n v="0"/>
    <n v="0"/>
    <n v="0"/>
    <n v="0"/>
    <n v="0"/>
    <m/>
    <n v="6.2"/>
  </r>
  <r>
    <s v="USR-100468"/>
    <d v="2025-05-21T00:00:00"/>
    <x v="0"/>
    <x v="2"/>
    <x v="0"/>
    <x v="0"/>
    <s v="Free"/>
    <n v="1"/>
    <n v="1"/>
    <n v="1"/>
    <n v="0"/>
    <n v="0"/>
    <n v="0"/>
    <n v="0"/>
    <n v="0"/>
    <m/>
    <n v="54.3"/>
  </r>
  <r>
    <s v="USR-100469"/>
    <d v="2025-05-30T00:00:00"/>
    <x v="0"/>
    <x v="0"/>
    <x v="1"/>
    <x v="1"/>
    <s v="Basic"/>
    <n v="0"/>
    <n v="0"/>
    <n v="0"/>
    <n v="0"/>
    <n v="0"/>
    <n v="0"/>
    <n v="0"/>
    <n v="0"/>
    <m/>
    <n v="59.8"/>
  </r>
  <r>
    <s v="USR-100470"/>
    <d v="2025-05-20T00:00:00"/>
    <x v="0"/>
    <x v="1"/>
    <x v="1"/>
    <x v="2"/>
    <s v="Free"/>
    <n v="0"/>
    <n v="0"/>
    <n v="0"/>
    <n v="0"/>
    <n v="0"/>
    <n v="0"/>
    <n v="0"/>
    <n v="0"/>
    <m/>
    <n v="58.9"/>
  </r>
  <r>
    <s v="USR-100471"/>
    <d v="2025-01-09T00:00:00"/>
    <x v="0"/>
    <x v="2"/>
    <x v="0"/>
    <x v="1"/>
    <s v="Free"/>
    <n v="0"/>
    <n v="0"/>
    <n v="0"/>
    <n v="0"/>
    <n v="0"/>
    <n v="1"/>
    <n v="1"/>
    <n v="0"/>
    <m/>
    <n v="52.9"/>
  </r>
  <r>
    <s v="USR-100472"/>
    <d v="2025-03-07T00:00:00"/>
    <x v="0"/>
    <x v="1"/>
    <x v="1"/>
    <x v="1"/>
    <s v="Free"/>
    <n v="0"/>
    <n v="0"/>
    <n v="0"/>
    <n v="0"/>
    <n v="0"/>
    <n v="0"/>
    <n v="0"/>
    <n v="0"/>
    <m/>
    <n v="67.8"/>
  </r>
  <r>
    <s v="USR-100473"/>
    <d v="2025-04-23T00:00:00"/>
    <x v="0"/>
    <x v="3"/>
    <x v="1"/>
    <x v="4"/>
    <s v="Free"/>
    <n v="0"/>
    <n v="0"/>
    <n v="0"/>
    <n v="0"/>
    <n v="0"/>
    <n v="0"/>
    <n v="0"/>
    <n v="0"/>
    <m/>
    <n v="48.7"/>
  </r>
  <r>
    <s v="USR-100474"/>
    <d v="2025-03-08T00:00:00"/>
    <x v="0"/>
    <x v="2"/>
    <x v="1"/>
    <x v="1"/>
    <s v="Basic"/>
    <n v="0"/>
    <n v="0"/>
    <n v="0"/>
    <n v="0"/>
    <n v="0"/>
    <n v="0"/>
    <n v="0"/>
    <n v="0"/>
    <m/>
    <n v="59"/>
  </r>
  <r>
    <s v="USR-100475"/>
    <d v="2025-02-14T00:00:00"/>
    <x v="0"/>
    <x v="3"/>
    <x v="1"/>
    <x v="3"/>
    <s v="Free"/>
    <n v="0"/>
    <n v="0"/>
    <n v="0"/>
    <n v="0"/>
    <n v="0"/>
    <n v="0"/>
    <n v="0"/>
    <n v="0"/>
    <m/>
    <n v="63.2"/>
  </r>
  <r>
    <s v="USR-100476"/>
    <d v="2025-05-17T00:00:00"/>
    <x v="0"/>
    <x v="1"/>
    <x v="1"/>
    <x v="3"/>
    <s v="Basic"/>
    <n v="1"/>
    <n v="0"/>
    <n v="0"/>
    <n v="0"/>
    <n v="0"/>
    <n v="0"/>
    <n v="0"/>
    <n v="0"/>
    <m/>
    <n v="68.7"/>
  </r>
  <r>
    <s v="USR-100477"/>
    <d v="2025-04-25T00:00:00"/>
    <x v="0"/>
    <x v="3"/>
    <x v="1"/>
    <x v="3"/>
    <s v="Free"/>
    <n v="0"/>
    <n v="0"/>
    <n v="0"/>
    <n v="0"/>
    <n v="0"/>
    <n v="0"/>
    <n v="0"/>
    <n v="0"/>
    <m/>
    <n v="52.1"/>
  </r>
  <r>
    <s v="USR-100478"/>
    <d v="2025-03-04T00:00:00"/>
    <x v="0"/>
    <x v="3"/>
    <x v="0"/>
    <x v="4"/>
    <s v="Basic"/>
    <n v="0"/>
    <n v="0"/>
    <n v="0"/>
    <n v="0"/>
    <n v="0"/>
    <n v="0"/>
    <n v="0"/>
    <n v="0"/>
    <m/>
    <n v="56.5"/>
  </r>
  <r>
    <s v="USR-100479"/>
    <d v="2025-03-18T00:00:00"/>
    <x v="0"/>
    <x v="3"/>
    <x v="1"/>
    <x v="1"/>
    <s v="Free"/>
    <n v="1"/>
    <n v="0"/>
    <n v="0"/>
    <n v="0"/>
    <n v="0"/>
    <n v="0"/>
    <n v="0"/>
    <n v="0"/>
    <m/>
    <n v="64.400000000000006"/>
  </r>
  <r>
    <s v="USR-100480"/>
    <d v="2025-01-30T00:00:00"/>
    <x v="0"/>
    <x v="1"/>
    <x v="1"/>
    <x v="2"/>
    <s v="Premium"/>
    <n v="1"/>
    <n v="0"/>
    <n v="0"/>
    <n v="0"/>
    <n v="0"/>
    <n v="0"/>
    <n v="0"/>
    <n v="0"/>
    <m/>
    <n v="65.900000000000006"/>
  </r>
  <r>
    <s v="USR-100481"/>
    <d v="2025-05-20T00:00:00"/>
    <x v="0"/>
    <x v="1"/>
    <x v="2"/>
    <x v="3"/>
    <s v="Free"/>
    <n v="1"/>
    <n v="1"/>
    <n v="1"/>
    <n v="0"/>
    <n v="0"/>
    <n v="0"/>
    <n v="0"/>
    <n v="0"/>
    <m/>
    <n v="100"/>
  </r>
  <r>
    <s v="USR-100482"/>
    <d v="2025-02-13T00:00:00"/>
    <x v="0"/>
    <x v="0"/>
    <x v="3"/>
    <x v="1"/>
    <s v="Basic"/>
    <n v="1"/>
    <n v="1"/>
    <n v="1"/>
    <n v="0"/>
    <n v="0"/>
    <n v="0"/>
    <n v="0"/>
    <n v="0"/>
    <m/>
    <n v="50.4"/>
  </r>
  <r>
    <s v="USR-100483"/>
    <d v="2025-04-12T00:00:00"/>
    <x v="0"/>
    <x v="1"/>
    <x v="0"/>
    <x v="1"/>
    <s v="Basic"/>
    <n v="0"/>
    <n v="0"/>
    <n v="0"/>
    <n v="0"/>
    <n v="0"/>
    <n v="0"/>
    <n v="0"/>
    <n v="0"/>
    <m/>
    <n v="41.5"/>
  </r>
  <r>
    <s v="USR-100484"/>
    <d v="2025-04-07T00:00:00"/>
    <x v="0"/>
    <x v="0"/>
    <x v="1"/>
    <x v="0"/>
    <s v="Free"/>
    <n v="0"/>
    <n v="0"/>
    <n v="0"/>
    <n v="0"/>
    <n v="0"/>
    <n v="0"/>
    <n v="0"/>
    <n v="0"/>
    <m/>
    <n v="86.2"/>
  </r>
  <r>
    <s v="USR-100485"/>
    <d v="2025-03-12T00:00:00"/>
    <x v="0"/>
    <x v="0"/>
    <x v="0"/>
    <x v="4"/>
    <s v="Free"/>
    <n v="1"/>
    <n v="1"/>
    <n v="1"/>
    <n v="0"/>
    <n v="0"/>
    <n v="2"/>
    <n v="1"/>
    <n v="0"/>
    <m/>
    <n v="50.8"/>
  </r>
  <r>
    <s v="USR-100486"/>
    <d v="2025-02-07T00:00:00"/>
    <x v="0"/>
    <x v="1"/>
    <x v="1"/>
    <x v="1"/>
    <s v="Free"/>
    <n v="1"/>
    <n v="0"/>
    <n v="0"/>
    <n v="0"/>
    <n v="0"/>
    <n v="0"/>
    <n v="0"/>
    <n v="0"/>
    <m/>
    <n v="50.9"/>
  </r>
  <r>
    <s v="USR-100487"/>
    <d v="2025-05-05T00:00:00"/>
    <x v="0"/>
    <x v="0"/>
    <x v="1"/>
    <x v="1"/>
    <s v="Premium"/>
    <n v="1"/>
    <n v="1"/>
    <n v="0"/>
    <n v="0"/>
    <n v="0"/>
    <n v="0"/>
    <n v="0"/>
    <n v="0"/>
    <m/>
    <n v="87.5"/>
  </r>
  <r>
    <s v="USR-100488"/>
    <d v="2025-03-18T00:00:00"/>
    <x v="0"/>
    <x v="3"/>
    <x v="1"/>
    <x v="3"/>
    <s v="Free"/>
    <n v="0"/>
    <n v="0"/>
    <n v="0"/>
    <n v="0"/>
    <n v="0"/>
    <n v="0"/>
    <n v="0"/>
    <n v="0"/>
    <m/>
    <n v="43.6"/>
  </r>
  <r>
    <s v="USR-100489"/>
    <d v="2025-01-05T00:00:00"/>
    <x v="0"/>
    <x v="3"/>
    <x v="1"/>
    <x v="2"/>
    <s v="Basic"/>
    <n v="1"/>
    <n v="0"/>
    <n v="0"/>
    <n v="0"/>
    <n v="0"/>
    <n v="0"/>
    <n v="0"/>
    <n v="0"/>
    <m/>
    <n v="55.5"/>
  </r>
  <r>
    <s v="USR-100490"/>
    <d v="2025-05-10T00:00:00"/>
    <x v="0"/>
    <x v="3"/>
    <x v="0"/>
    <x v="3"/>
    <s v="Basic"/>
    <n v="0"/>
    <n v="0"/>
    <n v="0"/>
    <n v="0"/>
    <n v="0"/>
    <n v="0"/>
    <n v="0"/>
    <n v="0"/>
    <m/>
    <n v="78.599999999999994"/>
  </r>
  <r>
    <s v="USR-100491"/>
    <d v="2025-01-03T00:00:00"/>
    <x v="0"/>
    <x v="3"/>
    <x v="1"/>
    <x v="4"/>
    <s v="Basic"/>
    <n v="1"/>
    <n v="1"/>
    <n v="0"/>
    <n v="0"/>
    <n v="0"/>
    <n v="1"/>
    <n v="1"/>
    <n v="0"/>
    <m/>
    <n v="44.3"/>
  </r>
  <r>
    <s v="USR-100492"/>
    <d v="2025-05-08T00:00:00"/>
    <x v="0"/>
    <x v="3"/>
    <x v="1"/>
    <x v="2"/>
    <s v="Free"/>
    <n v="1"/>
    <n v="1"/>
    <n v="0"/>
    <n v="0"/>
    <n v="0"/>
    <n v="0"/>
    <n v="0"/>
    <n v="0"/>
    <m/>
    <n v="45.2"/>
  </r>
  <r>
    <s v="USR-100493"/>
    <d v="2025-03-05T00:00:00"/>
    <x v="0"/>
    <x v="3"/>
    <x v="0"/>
    <x v="0"/>
    <s v="Basic"/>
    <n v="1"/>
    <n v="0"/>
    <n v="0"/>
    <n v="0"/>
    <n v="0"/>
    <n v="2"/>
    <n v="1"/>
    <n v="0"/>
    <m/>
    <n v="46.1"/>
  </r>
  <r>
    <s v="USR-100494"/>
    <d v="2025-02-17T00:00:00"/>
    <x v="0"/>
    <x v="0"/>
    <x v="1"/>
    <x v="1"/>
    <s v="Premium"/>
    <n v="1"/>
    <n v="0"/>
    <n v="0"/>
    <n v="0"/>
    <n v="0"/>
    <n v="0"/>
    <n v="0"/>
    <n v="0"/>
    <m/>
    <n v="49.6"/>
  </r>
  <r>
    <s v="USR-100495"/>
    <d v="2025-01-09T00:00:00"/>
    <x v="0"/>
    <x v="3"/>
    <x v="1"/>
    <x v="3"/>
    <s v="Basic"/>
    <n v="0"/>
    <n v="0"/>
    <n v="0"/>
    <n v="0"/>
    <n v="0"/>
    <n v="0"/>
    <n v="0"/>
    <n v="0"/>
    <m/>
    <n v="70.5"/>
  </r>
  <r>
    <s v="USR-100496"/>
    <d v="2025-05-05T00:00:00"/>
    <x v="0"/>
    <x v="3"/>
    <x v="1"/>
    <x v="0"/>
    <s v="Basic"/>
    <n v="0"/>
    <n v="0"/>
    <n v="0"/>
    <n v="0"/>
    <n v="0"/>
    <n v="1"/>
    <n v="1"/>
    <n v="0"/>
    <m/>
    <n v="60.8"/>
  </r>
  <r>
    <s v="USR-100497"/>
    <d v="2025-04-16T00:00:00"/>
    <x v="0"/>
    <x v="2"/>
    <x v="1"/>
    <x v="0"/>
    <s v="Basic"/>
    <n v="0"/>
    <n v="0"/>
    <n v="0"/>
    <n v="0"/>
    <n v="0"/>
    <n v="1"/>
    <n v="1"/>
    <n v="0"/>
    <m/>
    <n v="50.5"/>
  </r>
  <r>
    <s v="USR-100498"/>
    <d v="2025-03-02T00:00:00"/>
    <x v="0"/>
    <x v="3"/>
    <x v="0"/>
    <x v="1"/>
    <s v="Free"/>
    <n v="1"/>
    <n v="0"/>
    <n v="0"/>
    <n v="0"/>
    <n v="0"/>
    <n v="0"/>
    <n v="0"/>
    <n v="0"/>
    <m/>
    <n v="54.9"/>
  </r>
  <r>
    <s v="USR-100499"/>
    <d v="2025-04-14T00:00:00"/>
    <x v="0"/>
    <x v="3"/>
    <x v="1"/>
    <x v="4"/>
    <s v="Premium"/>
    <n v="0"/>
    <n v="0"/>
    <n v="0"/>
    <n v="0"/>
    <n v="0"/>
    <n v="0"/>
    <n v="0"/>
    <n v="0"/>
    <m/>
    <n v="29.9"/>
  </r>
  <r>
    <s v="USR-100500"/>
    <d v="2025-02-15T00:00:00"/>
    <x v="0"/>
    <x v="2"/>
    <x v="0"/>
    <x v="2"/>
    <s v="Basic"/>
    <n v="0"/>
    <n v="0"/>
    <n v="0"/>
    <n v="0"/>
    <n v="0"/>
    <n v="0"/>
    <n v="0"/>
    <n v="0"/>
    <m/>
    <n v="48.3"/>
  </r>
  <r>
    <s v="USR-100501"/>
    <d v="2025-02-13T00:00:00"/>
    <x v="0"/>
    <x v="1"/>
    <x v="1"/>
    <x v="4"/>
    <s v="Free"/>
    <n v="1"/>
    <n v="1"/>
    <n v="1"/>
    <n v="1"/>
    <n v="513.61"/>
    <n v="0"/>
    <n v="0"/>
    <n v="0"/>
    <n v="7"/>
    <n v="41.3"/>
  </r>
  <r>
    <s v="USR-100502"/>
    <d v="2025-03-06T00:00:00"/>
    <x v="0"/>
    <x v="0"/>
    <x v="1"/>
    <x v="0"/>
    <s v="Free"/>
    <n v="0"/>
    <n v="0"/>
    <n v="0"/>
    <n v="0"/>
    <n v="0"/>
    <n v="0"/>
    <n v="0"/>
    <n v="0"/>
    <m/>
    <n v="61.4"/>
  </r>
  <r>
    <s v="USR-100503"/>
    <d v="2025-02-18T00:00:00"/>
    <x v="0"/>
    <x v="3"/>
    <x v="0"/>
    <x v="4"/>
    <s v="Free"/>
    <n v="0"/>
    <n v="0"/>
    <n v="0"/>
    <n v="0"/>
    <n v="0"/>
    <n v="0"/>
    <n v="0"/>
    <n v="0"/>
    <m/>
    <n v="57.8"/>
  </r>
  <r>
    <s v="USR-100504"/>
    <d v="2025-04-07T00:00:00"/>
    <x v="0"/>
    <x v="0"/>
    <x v="0"/>
    <x v="1"/>
    <s v="Free"/>
    <n v="0"/>
    <n v="0"/>
    <n v="0"/>
    <n v="0"/>
    <n v="0"/>
    <n v="0"/>
    <n v="0"/>
    <n v="0"/>
    <m/>
    <n v="78.2"/>
  </r>
  <r>
    <s v="USR-100505"/>
    <d v="2025-04-06T00:00:00"/>
    <x v="0"/>
    <x v="0"/>
    <x v="1"/>
    <x v="3"/>
    <s v="Free"/>
    <n v="0"/>
    <n v="0"/>
    <n v="0"/>
    <n v="0"/>
    <n v="0"/>
    <n v="0"/>
    <n v="0"/>
    <n v="0"/>
    <m/>
    <n v="63.8"/>
  </r>
  <r>
    <s v="USR-100506"/>
    <d v="2025-01-30T00:00:00"/>
    <x v="0"/>
    <x v="0"/>
    <x v="0"/>
    <x v="4"/>
    <s v="Free"/>
    <n v="1"/>
    <n v="0"/>
    <n v="0"/>
    <n v="0"/>
    <n v="0"/>
    <n v="0"/>
    <n v="0"/>
    <n v="0"/>
    <m/>
    <n v="56.8"/>
  </r>
  <r>
    <s v="USR-100507"/>
    <d v="2025-05-13T00:00:00"/>
    <x v="0"/>
    <x v="3"/>
    <x v="0"/>
    <x v="1"/>
    <s v="Basic"/>
    <n v="1"/>
    <n v="1"/>
    <n v="0"/>
    <n v="0"/>
    <n v="0"/>
    <n v="0"/>
    <n v="0"/>
    <n v="0"/>
    <m/>
    <n v="59.6"/>
  </r>
  <r>
    <s v="USR-100508"/>
    <d v="2025-01-20T00:00:00"/>
    <x v="0"/>
    <x v="1"/>
    <x v="1"/>
    <x v="2"/>
    <s v="Premium"/>
    <n v="1"/>
    <n v="1"/>
    <n v="0"/>
    <n v="0"/>
    <n v="0"/>
    <n v="0"/>
    <n v="0"/>
    <n v="0"/>
    <m/>
    <n v="50"/>
  </r>
  <r>
    <s v="USR-100509"/>
    <d v="2025-01-30T00:00:00"/>
    <x v="0"/>
    <x v="0"/>
    <x v="2"/>
    <x v="1"/>
    <s v="Free"/>
    <n v="1"/>
    <n v="0"/>
    <n v="0"/>
    <n v="0"/>
    <n v="0"/>
    <n v="0"/>
    <n v="0"/>
    <n v="0"/>
    <m/>
    <n v="35.700000000000003"/>
  </r>
  <r>
    <s v="USR-100510"/>
    <d v="2025-01-13T00:00:00"/>
    <x v="0"/>
    <x v="3"/>
    <x v="1"/>
    <x v="1"/>
    <s v="Free"/>
    <n v="0"/>
    <n v="0"/>
    <n v="0"/>
    <n v="0"/>
    <n v="0"/>
    <n v="2"/>
    <n v="1"/>
    <n v="0"/>
    <m/>
    <n v="47.2"/>
  </r>
  <r>
    <s v="USR-100511"/>
    <d v="2025-02-11T00:00:00"/>
    <x v="0"/>
    <x v="0"/>
    <x v="1"/>
    <x v="4"/>
    <s v="Free"/>
    <n v="1"/>
    <n v="1"/>
    <n v="0"/>
    <n v="0"/>
    <n v="0"/>
    <n v="0"/>
    <n v="0"/>
    <n v="0"/>
    <m/>
    <n v="56.9"/>
  </r>
  <r>
    <s v="USR-100512"/>
    <d v="2025-04-15T00:00:00"/>
    <x v="0"/>
    <x v="3"/>
    <x v="1"/>
    <x v="1"/>
    <s v="Free"/>
    <n v="0"/>
    <n v="0"/>
    <n v="0"/>
    <n v="0"/>
    <n v="0"/>
    <n v="1"/>
    <n v="1"/>
    <n v="0"/>
    <m/>
    <n v="57.2"/>
  </r>
  <r>
    <s v="USR-100513"/>
    <d v="2025-02-13T00:00:00"/>
    <x v="0"/>
    <x v="3"/>
    <x v="1"/>
    <x v="5"/>
    <s v="Free"/>
    <n v="1"/>
    <n v="1"/>
    <n v="0"/>
    <n v="0"/>
    <n v="0"/>
    <n v="0"/>
    <n v="0"/>
    <n v="0"/>
    <m/>
    <n v="31.4"/>
  </r>
  <r>
    <s v="USR-100514"/>
    <d v="2025-05-09T00:00:00"/>
    <x v="0"/>
    <x v="3"/>
    <x v="0"/>
    <x v="1"/>
    <s v="Free"/>
    <n v="0"/>
    <n v="0"/>
    <n v="0"/>
    <n v="0"/>
    <n v="0"/>
    <n v="0"/>
    <n v="0"/>
    <n v="0"/>
    <m/>
    <n v="71.2"/>
  </r>
  <r>
    <s v="USR-100515"/>
    <d v="2025-03-10T00:00:00"/>
    <x v="0"/>
    <x v="0"/>
    <x v="1"/>
    <x v="2"/>
    <s v="Free"/>
    <n v="1"/>
    <n v="1"/>
    <n v="1"/>
    <n v="0"/>
    <n v="0"/>
    <n v="1"/>
    <n v="1"/>
    <n v="0"/>
    <m/>
    <n v="38.299999999999997"/>
  </r>
  <r>
    <s v="USR-100516"/>
    <d v="2025-04-01T00:00:00"/>
    <x v="0"/>
    <x v="0"/>
    <x v="1"/>
    <x v="1"/>
    <s v="Free"/>
    <n v="1"/>
    <n v="1"/>
    <n v="0"/>
    <n v="0"/>
    <n v="0"/>
    <n v="0"/>
    <n v="0"/>
    <n v="0"/>
    <m/>
    <n v="63.1"/>
  </r>
  <r>
    <s v="USR-100517"/>
    <d v="2025-05-15T00:00:00"/>
    <x v="0"/>
    <x v="2"/>
    <x v="1"/>
    <x v="3"/>
    <s v="Basic"/>
    <n v="1"/>
    <n v="0"/>
    <n v="0"/>
    <n v="0"/>
    <n v="0"/>
    <n v="0"/>
    <n v="0"/>
    <n v="0"/>
    <m/>
    <n v="59.7"/>
  </r>
  <r>
    <s v="USR-100518"/>
    <d v="2025-05-04T00:00:00"/>
    <x v="0"/>
    <x v="3"/>
    <x v="0"/>
    <x v="4"/>
    <s v="Premium"/>
    <n v="1"/>
    <n v="1"/>
    <n v="1"/>
    <n v="0"/>
    <n v="0"/>
    <n v="0"/>
    <n v="0"/>
    <n v="0"/>
    <m/>
    <n v="59.5"/>
  </r>
  <r>
    <s v="USR-100519"/>
    <d v="2025-05-20T00:00:00"/>
    <x v="0"/>
    <x v="2"/>
    <x v="1"/>
    <x v="2"/>
    <s v="Free"/>
    <n v="0"/>
    <n v="0"/>
    <n v="0"/>
    <n v="0"/>
    <n v="0"/>
    <n v="0"/>
    <n v="0"/>
    <n v="0"/>
    <m/>
    <n v="78.8"/>
  </r>
  <r>
    <s v="USR-100520"/>
    <d v="2025-05-16T00:00:00"/>
    <x v="0"/>
    <x v="1"/>
    <x v="0"/>
    <x v="3"/>
    <s v="Free"/>
    <n v="0"/>
    <n v="0"/>
    <n v="0"/>
    <n v="0"/>
    <n v="0"/>
    <n v="0"/>
    <n v="0"/>
    <n v="0"/>
    <m/>
    <n v="54"/>
  </r>
  <r>
    <s v="USR-100521"/>
    <d v="2025-03-17T00:00:00"/>
    <x v="0"/>
    <x v="1"/>
    <x v="1"/>
    <x v="1"/>
    <s v="Free"/>
    <n v="1"/>
    <n v="0"/>
    <n v="0"/>
    <n v="0"/>
    <n v="0"/>
    <n v="0"/>
    <n v="0"/>
    <n v="0"/>
    <m/>
    <n v="66.3"/>
  </r>
  <r>
    <s v="USR-100522"/>
    <d v="2025-01-27T00:00:00"/>
    <x v="0"/>
    <x v="2"/>
    <x v="2"/>
    <x v="2"/>
    <s v="Free"/>
    <n v="1"/>
    <n v="1"/>
    <n v="0"/>
    <n v="0"/>
    <n v="0"/>
    <n v="0"/>
    <n v="0"/>
    <n v="0"/>
    <m/>
    <n v="54.7"/>
  </r>
  <r>
    <s v="USR-100523"/>
    <d v="2025-04-13T00:00:00"/>
    <x v="0"/>
    <x v="3"/>
    <x v="1"/>
    <x v="1"/>
    <s v="Basic"/>
    <n v="1"/>
    <n v="0"/>
    <n v="0"/>
    <n v="0"/>
    <n v="0"/>
    <n v="0"/>
    <n v="0"/>
    <n v="0"/>
    <m/>
    <n v="76.7"/>
  </r>
  <r>
    <s v="USR-100524"/>
    <d v="2025-05-03T00:00:00"/>
    <x v="0"/>
    <x v="3"/>
    <x v="0"/>
    <x v="0"/>
    <s v="Basic"/>
    <n v="1"/>
    <n v="0"/>
    <n v="0"/>
    <n v="0"/>
    <n v="0"/>
    <n v="2"/>
    <n v="1"/>
    <n v="0"/>
    <m/>
    <n v="47.4"/>
  </r>
  <r>
    <s v="USR-100525"/>
    <d v="2025-03-30T00:00:00"/>
    <x v="0"/>
    <x v="0"/>
    <x v="1"/>
    <x v="1"/>
    <s v="Free"/>
    <n v="1"/>
    <n v="1"/>
    <n v="1"/>
    <n v="0"/>
    <n v="0"/>
    <n v="0"/>
    <n v="0"/>
    <n v="0"/>
    <m/>
    <n v="81.7"/>
  </r>
  <r>
    <s v="USR-100526"/>
    <d v="2025-01-01T00:00:00"/>
    <x v="0"/>
    <x v="1"/>
    <x v="1"/>
    <x v="2"/>
    <s v="Basic"/>
    <n v="1"/>
    <n v="1"/>
    <n v="1"/>
    <n v="0"/>
    <n v="0"/>
    <n v="0"/>
    <n v="0"/>
    <n v="0"/>
    <m/>
    <n v="67.5"/>
  </r>
  <r>
    <s v="USR-100527"/>
    <d v="2025-02-06T00:00:00"/>
    <x v="0"/>
    <x v="1"/>
    <x v="1"/>
    <x v="2"/>
    <s v="Basic"/>
    <n v="1"/>
    <n v="0"/>
    <n v="0"/>
    <n v="0"/>
    <n v="0"/>
    <n v="0"/>
    <n v="0"/>
    <n v="0"/>
    <m/>
    <n v="36.799999999999997"/>
  </r>
  <r>
    <s v="USR-100528"/>
    <d v="2025-02-25T00:00:00"/>
    <x v="0"/>
    <x v="0"/>
    <x v="0"/>
    <x v="1"/>
    <s v="Free"/>
    <n v="0"/>
    <n v="0"/>
    <n v="0"/>
    <n v="0"/>
    <n v="0"/>
    <n v="0"/>
    <n v="0"/>
    <n v="0"/>
    <m/>
    <n v="66.5"/>
  </r>
  <r>
    <s v="USR-100529"/>
    <d v="2025-05-14T00:00:00"/>
    <x v="0"/>
    <x v="2"/>
    <x v="2"/>
    <x v="4"/>
    <s v="Free"/>
    <n v="1"/>
    <n v="0"/>
    <n v="0"/>
    <n v="0"/>
    <n v="0"/>
    <n v="0"/>
    <n v="0"/>
    <n v="0"/>
    <m/>
    <n v="35.4"/>
  </r>
  <r>
    <s v="USR-100530"/>
    <d v="2025-05-20T00:00:00"/>
    <x v="0"/>
    <x v="3"/>
    <x v="1"/>
    <x v="1"/>
    <s v="Basic"/>
    <n v="0"/>
    <n v="0"/>
    <n v="0"/>
    <n v="0"/>
    <n v="0"/>
    <n v="0"/>
    <n v="0"/>
    <n v="0"/>
    <m/>
    <n v="64.3"/>
  </r>
  <r>
    <s v="USR-100531"/>
    <d v="2025-02-11T00:00:00"/>
    <x v="0"/>
    <x v="3"/>
    <x v="1"/>
    <x v="1"/>
    <s v="Free"/>
    <n v="0"/>
    <n v="0"/>
    <n v="0"/>
    <n v="0"/>
    <n v="0"/>
    <n v="0"/>
    <n v="0"/>
    <n v="0"/>
    <m/>
    <n v="49.1"/>
  </r>
  <r>
    <s v="USR-100532"/>
    <d v="2025-02-13T00:00:00"/>
    <x v="0"/>
    <x v="1"/>
    <x v="1"/>
    <x v="1"/>
    <s v="Free"/>
    <n v="1"/>
    <n v="0"/>
    <n v="0"/>
    <n v="0"/>
    <n v="0"/>
    <n v="0"/>
    <n v="0"/>
    <n v="0"/>
    <m/>
    <n v="84.3"/>
  </r>
  <r>
    <s v="USR-100533"/>
    <d v="2025-04-07T00:00:00"/>
    <x v="0"/>
    <x v="3"/>
    <x v="1"/>
    <x v="2"/>
    <s v="Premium"/>
    <n v="1"/>
    <n v="0"/>
    <n v="0"/>
    <n v="0"/>
    <n v="0"/>
    <n v="0"/>
    <n v="0"/>
    <n v="0"/>
    <m/>
    <n v="65.599999999999994"/>
  </r>
  <r>
    <s v="USR-100534"/>
    <d v="2025-03-08T00:00:00"/>
    <x v="0"/>
    <x v="2"/>
    <x v="1"/>
    <x v="0"/>
    <s v="Free"/>
    <n v="1"/>
    <n v="0"/>
    <n v="0"/>
    <n v="0"/>
    <n v="0"/>
    <n v="0"/>
    <n v="0"/>
    <n v="0"/>
    <m/>
    <n v="47.1"/>
  </r>
  <r>
    <s v="USR-100535"/>
    <d v="2025-02-16T00:00:00"/>
    <x v="0"/>
    <x v="0"/>
    <x v="0"/>
    <x v="2"/>
    <s v="Free"/>
    <n v="1"/>
    <n v="1"/>
    <n v="1"/>
    <n v="0"/>
    <n v="0"/>
    <n v="0"/>
    <n v="0"/>
    <n v="0"/>
    <m/>
    <n v="70"/>
  </r>
  <r>
    <s v="USR-100536"/>
    <d v="2025-04-28T00:00:00"/>
    <x v="0"/>
    <x v="3"/>
    <x v="1"/>
    <x v="2"/>
    <s v="Premium"/>
    <n v="1"/>
    <n v="0"/>
    <n v="0"/>
    <n v="0"/>
    <n v="0"/>
    <n v="0"/>
    <n v="0"/>
    <n v="0"/>
    <m/>
    <n v="54.6"/>
  </r>
  <r>
    <s v="USR-100537"/>
    <d v="2025-03-10T00:00:00"/>
    <x v="0"/>
    <x v="1"/>
    <x v="2"/>
    <x v="4"/>
    <s v="Basic"/>
    <n v="1"/>
    <n v="1"/>
    <n v="0"/>
    <n v="0"/>
    <n v="0"/>
    <n v="1"/>
    <n v="1"/>
    <n v="0"/>
    <m/>
    <n v="65.2"/>
  </r>
  <r>
    <s v="USR-100538"/>
    <d v="2025-01-25T00:00:00"/>
    <x v="0"/>
    <x v="2"/>
    <x v="1"/>
    <x v="4"/>
    <s v="Free"/>
    <n v="1"/>
    <n v="0"/>
    <n v="0"/>
    <n v="0"/>
    <n v="0"/>
    <n v="0"/>
    <n v="0"/>
    <n v="0"/>
    <m/>
    <n v="65"/>
  </r>
  <r>
    <s v="USR-100539"/>
    <d v="2025-01-11T00:00:00"/>
    <x v="0"/>
    <x v="1"/>
    <x v="1"/>
    <x v="2"/>
    <s v="Premium"/>
    <n v="1"/>
    <n v="1"/>
    <n v="1"/>
    <n v="0"/>
    <n v="0"/>
    <n v="1"/>
    <n v="1"/>
    <n v="0"/>
    <m/>
    <n v="42.1"/>
  </r>
  <r>
    <s v="USR-100540"/>
    <d v="2025-03-31T00:00:00"/>
    <x v="0"/>
    <x v="1"/>
    <x v="2"/>
    <x v="2"/>
    <s v="Free"/>
    <n v="1"/>
    <n v="0"/>
    <n v="0"/>
    <n v="0"/>
    <n v="0"/>
    <n v="0"/>
    <n v="0"/>
    <n v="0"/>
    <m/>
    <n v="43.4"/>
  </r>
  <r>
    <s v="USR-100541"/>
    <d v="2025-05-22T00:00:00"/>
    <x v="0"/>
    <x v="0"/>
    <x v="1"/>
    <x v="2"/>
    <s v="Basic"/>
    <n v="1"/>
    <n v="1"/>
    <n v="0"/>
    <n v="0"/>
    <n v="0"/>
    <n v="0"/>
    <n v="0"/>
    <n v="0"/>
    <m/>
    <n v="39.9"/>
  </r>
  <r>
    <s v="USR-100542"/>
    <d v="2025-05-16T00:00:00"/>
    <x v="0"/>
    <x v="0"/>
    <x v="1"/>
    <x v="3"/>
    <s v="Basic"/>
    <n v="0"/>
    <n v="0"/>
    <n v="0"/>
    <n v="0"/>
    <n v="0"/>
    <n v="0"/>
    <n v="0"/>
    <n v="0"/>
    <m/>
    <n v="74.099999999999994"/>
  </r>
  <r>
    <s v="USR-100543"/>
    <d v="2025-04-25T00:00:00"/>
    <x v="0"/>
    <x v="2"/>
    <x v="0"/>
    <x v="2"/>
    <s v="Free"/>
    <n v="1"/>
    <n v="0"/>
    <n v="0"/>
    <n v="0"/>
    <n v="0"/>
    <n v="0"/>
    <n v="0"/>
    <n v="0"/>
    <m/>
    <n v="61.4"/>
  </r>
  <r>
    <s v="USR-100544"/>
    <d v="2025-04-17T00:00:00"/>
    <x v="0"/>
    <x v="2"/>
    <x v="1"/>
    <x v="4"/>
    <s v="Premium"/>
    <n v="1"/>
    <n v="1"/>
    <n v="1"/>
    <n v="0"/>
    <n v="0"/>
    <n v="0"/>
    <n v="0"/>
    <n v="0"/>
    <m/>
    <n v="76.8"/>
  </r>
  <r>
    <s v="USR-100545"/>
    <d v="2025-01-01T00:00:00"/>
    <x v="0"/>
    <x v="3"/>
    <x v="0"/>
    <x v="4"/>
    <s v="Basic"/>
    <n v="0"/>
    <n v="0"/>
    <n v="0"/>
    <n v="0"/>
    <n v="0"/>
    <n v="0"/>
    <n v="0"/>
    <n v="0"/>
    <m/>
    <m/>
  </r>
  <r>
    <s v="USR-100546"/>
    <d v="2025-03-18T00:00:00"/>
    <x v="0"/>
    <x v="2"/>
    <x v="1"/>
    <x v="2"/>
    <s v="Basic"/>
    <n v="1"/>
    <n v="1"/>
    <n v="1"/>
    <n v="0"/>
    <n v="0"/>
    <n v="0"/>
    <n v="0"/>
    <n v="0"/>
    <m/>
    <n v="45.3"/>
  </r>
  <r>
    <s v="USR-100547"/>
    <d v="2025-05-20T00:00:00"/>
    <x v="0"/>
    <x v="0"/>
    <x v="2"/>
    <x v="2"/>
    <s v="Free"/>
    <n v="1"/>
    <n v="0"/>
    <n v="0"/>
    <n v="0"/>
    <n v="0"/>
    <n v="0"/>
    <n v="0"/>
    <n v="0"/>
    <m/>
    <n v="41.4"/>
  </r>
  <r>
    <s v="USR-100548"/>
    <d v="2025-03-16T00:00:00"/>
    <x v="0"/>
    <x v="0"/>
    <x v="1"/>
    <x v="1"/>
    <s v="Basic"/>
    <n v="1"/>
    <n v="0"/>
    <n v="0"/>
    <n v="0"/>
    <n v="0"/>
    <n v="0"/>
    <n v="0"/>
    <n v="0"/>
    <m/>
    <n v="37.1"/>
  </r>
  <r>
    <s v="USR-100549"/>
    <d v="2025-05-30T00:00:00"/>
    <x v="0"/>
    <x v="2"/>
    <x v="0"/>
    <x v="4"/>
    <s v="Free"/>
    <n v="1"/>
    <n v="0"/>
    <n v="0"/>
    <n v="0"/>
    <n v="0"/>
    <n v="0"/>
    <n v="0"/>
    <n v="0"/>
    <m/>
    <n v="40.700000000000003"/>
  </r>
  <r>
    <s v="USR-100550"/>
    <d v="2025-02-20T00:00:00"/>
    <x v="0"/>
    <x v="0"/>
    <x v="1"/>
    <x v="4"/>
    <s v="Premium"/>
    <n v="0"/>
    <n v="0"/>
    <n v="0"/>
    <n v="0"/>
    <n v="0"/>
    <n v="2"/>
    <n v="1"/>
    <n v="0"/>
    <m/>
    <n v="55.9"/>
  </r>
  <r>
    <s v="USR-100551"/>
    <d v="2025-02-11T00:00:00"/>
    <x v="0"/>
    <x v="2"/>
    <x v="3"/>
    <x v="4"/>
    <s v="Free"/>
    <n v="1"/>
    <n v="1"/>
    <n v="0"/>
    <n v="0"/>
    <n v="0"/>
    <n v="0"/>
    <n v="0"/>
    <n v="0"/>
    <m/>
    <n v="55.8"/>
  </r>
  <r>
    <s v="USR-100552"/>
    <d v="2025-01-02T00:00:00"/>
    <x v="0"/>
    <x v="3"/>
    <x v="2"/>
    <x v="3"/>
    <s v="Basic"/>
    <n v="1"/>
    <n v="0"/>
    <n v="0"/>
    <n v="0"/>
    <n v="0"/>
    <n v="0"/>
    <n v="0"/>
    <n v="0"/>
    <m/>
    <n v="64.3"/>
  </r>
  <r>
    <s v="USR-100553"/>
    <d v="2025-05-03T00:00:00"/>
    <x v="0"/>
    <x v="0"/>
    <x v="1"/>
    <x v="1"/>
    <s v="Free"/>
    <n v="0"/>
    <n v="0"/>
    <n v="0"/>
    <n v="0"/>
    <n v="0"/>
    <n v="0"/>
    <n v="0"/>
    <n v="0"/>
    <m/>
    <n v="65.400000000000006"/>
  </r>
  <r>
    <s v="USR-100554"/>
    <d v="2025-02-24T00:00:00"/>
    <x v="0"/>
    <x v="1"/>
    <x v="1"/>
    <x v="1"/>
    <s v="Free"/>
    <n v="1"/>
    <n v="0"/>
    <n v="0"/>
    <n v="0"/>
    <n v="0"/>
    <n v="0"/>
    <n v="0"/>
    <n v="0"/>
    <m/>
    <n v="89.8"/>
  </r>
  <r>
    <s v="USR-100555"/>
    <d v="2025-02-11T00:00:00"/>
    <x v="0"/>
    <x v="3"/>
    <x v="3"/>
    <x v="1"/>
    <s v="Free"/>
    <n v="1"/>
    <n v="1"/>
    <n v="1"/>
    <n v="0"/>
    <n v="0"/>
    <n v="0"/>
    <n v="0"/>
    <n v="0"/>
    <m/>
    <n v="58.3"/>
  </r>
  <r>
    <s v="USR-100556"/>
    <d v="2025-05-06T00:00:00"/>
    <x v="0"/>
    <x v="3"/>
    <x v="1"/>
    <x v="4"/>
    <s v="Basic"/>
    <n v="1"/>
    <n v="0"/>
    <n v="0"/>
    <n v="0"/>
    <n v="0"/>
    <n v="0"/>
    <n v="0"/>
    <n v="0"/>
    <m/>
    <n v="64.400000000000006"/>
  </r>
  <r>
    <s v="USR-100557"/>
    <d v="2025-05-23T00:00:00"/>
    <x v="0"/>
    <x v="0"/>
    <x v="1"/>
    <x v="2"/>
    <s v="Premium"/>
    <n v="0"/>
    <n v="0"/>
    <n v="0"/>
    <n v="0"/>
    <n v="0"/>
    <n v="0"/>
    <n v="0"/>
    <n v="0"/>
    <m/>
    <n v="46.2"/>
  </r>
  <r>
    <s v="USR-100558"/>
    <d v="2025-01-09T00:00:00"/>
    <x v="0"/>
    <x v="0"/>
    <x v="0"/>
    <x v="2"/>
    <s v="Free"/>
    <n v="0"/>
    <n v="0"/>
    <n v="0"/>
    <n v="0"/>
    <n v="0"/>
    <n v="0"/>
    <n v="0"/>
    <n v="0"/>
    <m/>
    <n v="78"/>
  </r>
  <r>
    <s v="USR-100559"/>
    <d v="2025-04-01T00:00:00"/>
    <x v="0"/>
    <x v="0"/>
    <x v="0"/>
    <x v="1"/>
    <s v="Premium"/>
    <n v="1"/>
    <n v="0"/>
    <n v="0"/>
    <n v="0"/>
    <n v="0"/>
    <n v="0"/>
    <n v="0"/>
    <n v="0"/>
    <m/>
    <n v="62.3"/>
  </r>
  <r>
    <s v="USR-100560"/>
    <d v="2025-03-08T00:00:00"/>
    <x v="0"/>
    <x v="0"/>
    <x v="1"/>
    <x v="1"/>
    <s v="Free"/>
    <n v="1"/>
    <n v="0"/>
    <n v="0"/>
    <n v="0"/>
    <n v="0"/>
    <n v="0"/>
    <n v="0"/>
    <n v="0"/>
    <m/>
    <n v="78.8"/>
  </r>
  <r>
    <s v="USR-100561"/>
    <d v="2025-02-20T00:00:00"/>
    <x v="0"/>
    <x v="0"/>
    <x v="1"/>
    <x v="4"/>
    <s v="Basic"/>
    <n v="1"/>
    <n v="0"/>
    <n v="0"/>
    <n v="0"/>
    <n v="0"/>
    <n v="0"/>
    <n v="0"/>
    <n v="0"/>
    <m/>
    <n v="25"/>
  </r>
  <r>
    <s v="USR-100562"/>
    <d v="2025-03-30T00:00:00"/>
    <x v="0"/>
    <x v="2"/>
    <x v="1"/>
    <x v="4"/>
    <s v="Basic"/>
    <n v="0"/>
    <n v="0"/>
    <n v="0"/>
    <n v="0"/>
    <n v="0"/>
    <n v="0"/>
    <n v="0"/>
    <n v="0"/>
    <m/>
    <n v="53.4"/>
  </r>
  <r>
    <s v="USR-100563"/>
    <d v="2025-04-10T00:00:00"/>
    <x v="0"/>
    <x v="2"/>
    <x v="0"/>
    <x v="1"/>
    <s v="Basic"/>
    <n v="0"/>
    <n v="0"/>
    <n v="0"/>
    <n v="0"/>
    <n v="0"/>
    <n v="0"/>
    <n v="0"/>
    <n v="0"/>
    <m/>
    <n v="40.700000000000003"/>
  </r>
  <r>
    <s v="USR-100564"/>
    <d v="2025-03-24T00:00:00"/>
    <x v="0"/>
    <x v="2"/>
    <x v="1"/>
    <x v="1"/>
    <s v="Premium"/>
    <n v="1"/>
    <n v="1"/>
    <n v="0"/>
    <n v="0"/>
    <n v="0"/>
    <n v="0"/>
    <n v="0"/>
    <n v="0"/>
    <m/>
    <n v="36.700000000000003"/>
  </r>
  <r>
    <s v="USR-100565"/>
    <d v="2025-05-21T00:00:00"/>
    <x v="0"/>
    <x v="1"/>
    <x v="1"/>
    <x v="1"/>
    <s v="Basic"/>
    <n v="1"/>
    <n v="0"/>
    <n v="0"/>
    <n v="0"/>
    <n v="0"/>
    <n v="1"/>
    <n v="1"/>
    <n v="0"/>
    <m/>
    <n v="67.5"/>
  </r>
  <r>
    <s v="USR-100566"/>
    <d v="2025-03-29T00:00:00"/>
    <x v="0"/>
    <x v="2"/>
    <x v="1"/>
    <x v="4"/>
    <s v="Premium"/>
    <n v="1"/>
    <n v="1"/>
    <n v="1"/>
    <n v="0"/>
    <n v="0"/>
    <n v="0"/>
    <n v="0"/>
    <n v="0"/>
    <m/>
    <n v="69.900000000000006"/>
  </r>
  <r>
    <s v="USR-100567"/>
    <d v="2025-02-23T00:00:00"/>
    <x v="0"/>
    <x v="0"/>
    <x v="2"/>
    <x v="3"/>
    <s v="Basic"/>
    <n v="1"/>
    <n v="0"/>
    <n v="0"/>
    <n v="0"/>
    <n v="0"/>
    <n v="0"/>
    <n v="0"/>
    <n v="0"/>
    <m/>
    <n v="65.099999999999994"/>
  </r>
  <r>
    <s v="USR-100568"/>
    <d v="2025-02-16T00:00:00"/>
    <x v="0"/>
    <x v="1"/>
    <x v="1"/>
    <x v="2"/>
    <s v="Premium"/>
    <n v="1"/>
    <n v="0"/>
    <n v="0"/>
    <n v="0"/>
    <n v="0"/>
    <n v="0"/>
    <n v="0"/>
    <n v="0"/>
    <m/>
    <n v="48.7"/>
  </r>
  <r>
    <s v="USR-100569"/>
    <d v="2025-02-21T00:00:00"/>
    <x v="0"/>
    <x v="1"/>
    <x v="0"/>
    <x v="1"/>
    <s v="Basic"/>
    <n v="1"/>
    <n v="1"/>
    <n v="0"/>
    <n v="0"/>
    <n v="0"/>
    <n v="0"/>
    <n v="0"/>
    <n v="0"/>
    <m/>
    <n v="47.2"/>
  </r>
  <r>
    <s v="USR-100570"/>
    <d v="2025-01-07T00:00:00"/>
    <x v="0"/>
    <x v="0"/>
    <x v="1"/>
    <x v="3"/>
    <s v="Free"/>
    <n v="1"/>
    <n v="0"/>
    <n v="0"/>
    <n v="0"/>
    <n v="0"/>
    <n v="2"/>
    <n v="1"/>
    <n v="0"/>
    <m/>
    <n v="20.3"/>
  </r>
  <r>
    <s v="USR-100571"/>
    <d v="2025-03-06T00:00:00"/>
    <x v="0"/>
    <x v="1"/>
    <x v="1"/>
    <x v="2"/>
    <s v="Free"/>
    <n v="0"/>
    <n v="0"/>
    <n v="0"/>
    <n v="0"/>
    <n v="0"/>
    <n v="1"/>
    <n v="1"/>
    <n v="0"/>
    <m/>
    <n v="57.8"/>
  </r>
  <r>
    <s v="USR-100572"/>
    <d v="2025-03-30T00:00:00"/>
    <x v="0"/>
    <x v="2"/>
    <x v="1"/>
    <x v="0"/>
    <s v="Basic"/>
    <n v="1"/>
    <n v="0"/>
    <n v="0"/>
    <n v="0"/>
    <n v="0"/>
    <n v="0"/>
    <n v="0"/>
    <n v="0"/>
    <m/>
    <n v="78.7"/>
  </r>
  <r>
    <s v="USR-100573"/>
    <d v="2025-05-31T00:00:00"/>
    <x v="0"/>
    <x v="3"/>
    <x v="0"/>
    <x v="1"/>
    <s v="Free"/>
    <n v="1"/>
    <n v="0"/>
    <n v="0"/>
    <n v="0"/>
    <n v="0"/>
    <n v="0"/>
    <n v="0"/>
    <n v="0"/>
    <m/>
    <n v="63.6"/>
  </r>
  <r>
    <s v="USR-100574"/>
    <d v="2025-02-20T00:00:00"/>
    <x v="0"/>
    <x v="3"/>
    <x v="1"/>
    <x v="0"/>
    <s v="Free"/>
    <n v="0"/>
    <n v="0"/>
    <n v="0"/>
    <n v="0"/>
    <n v="0"/>
    <n v="2"/>
    <n v="1"/>
    <n v="0"/>
    <m/>
    <n v="45.1"/>
  </r>
  <r>
    <s v="USR-100575"/>
    <d v="2025-01-13T00:00:00"/>
    <x v="0"/>
    <x v="1"/>
    <x v="1"/>
    <x v="4"/>
    <s v="Free"/>
    <n v="0"/>
    <n v="0"/>
    <n v="0"/>
    <n v="0"/>
    <n v="0"/>
    <n v="0"/>
    <n v="0"/>
    <n v="0"/>
    <m/>
    <n v="77.5"/>
  </r>
  <r>
    <s v="USR-100576"/>
    <d v="2025-05-13T00:00:00"/>
    <x v="0"/>
    <x v="2"/>
    <x v="0"/>
    <x v="2"/>
    <s v="Basic"/>
    <n v="1"/>
    <n v="1"/>
    <n v="0"/>
    <n v="0"/>
    <n v="0"/>
    <n v="0"/>
    <n v="0"/>
    <n v="0"/>
    <m/>
    <n v="58"/>
  </r>
  <r>
    <s v="USR-100577"/>
    <d v="2025-04-21T00:00:00"/>
    <x v="0"/>
    <x v="3"/>
    <x v="2"/>
    <x v="1"/>
    <s v="Free"/>
    <n v="1"/>
    <n v="0"/>
    <n v="0"/>
    <n v="0"/>
    <n v="0"/>
    <n v="0"/>
    <n v="0"/>
    <n v="0"/>
    <m/>
    <n v="68.099999999999994"/>
  </r>
  <r>
    <s v="USR-100578"/>
    <d v="2025-03-01T00:00:00"/>
    <x v="0"/>
    <x v="2"/>
    <x v="2"/>
    <x v="1"/>
    <s v="Premium"/>
    <n v="1"/>
    <n v="0"/>
    <n v="0"/>
    <n v="0"/>
    <n v="0"/>
    <n v="0"/>
    <n v="0"/>
    <n v="0"/>
    <m/>
    <n v="35.4"/>
  </r>
  <r>
    <s v="USR-100579"/>
    <d v="2025-03-10T00:00:00"/>
    <x v="0"/>
    <x v="1"/>
    <x v="2"/>
    <x v="1"/>
    <s v="Free"/>
    <n v="0"/>
    <n v="0"/>
    <n v="0"/>
    <n v="0"/>
    <n v="0"/>
    <n v="0"/>
    <n v="0"/>
    <n v="0"/>
    <m/>
    <n v="47"/>
  </r>
  <r>
    <s v="USR-100580"/>
    <d v="2025-03-08T00:00:00"/>
    <x v="0"/>
    <x v="2"/>
    <x v="0"/>
    <x v="2"/>
    <s v="Free"/>
    <n v="0"/>
    <n v="0"/>
    <n v="0"/>
    <n v="0"/>
    <n v="0"/>
    <n v="0"/>
    <n v="0"/>
    <n v="0"/>
    <m/>
    <n v="75"/>
  </r>
  <r>
    <s v="USR-100581"/>
    <d v="2025-05-26T00:00:00"/>
    <x v="0"/>
    <x v="3"/>
    <x v="0"/>
    <x v="2"/>
    <s v="Free"/>
    <n v="1"/>
    <n v="1"/>
    <n v="1"/>
    <n v="0"/>
    <n v="0"/>
    <n v="3"/>
    <n v="1"/>
    <n v="0"/>
    <m/>
    <n v="50.2"/>
  </r>
  <r>
    <s v="USR-100582"/>
    <d v="2025-05-20T00:00:00"/>
    <x v="0"/>
    <x v="2"/>
    <x v="0"/>
    <x v="2"/>
    <s v="Free"/>
    <n v="1"/>
    <n v="0"/>
    <n v="0"/>
    <n v="0"/>
    <n v="0"/>
    <n v="0"/>
    <n v="0"/>
    <n v="0"/>
    <m/>
    <n v="40.1"/>
  </r>
  <r>
    <s v="USR-100583"/>
    <d v="2025-03-22T00:00:00"/>
    <x v="0"/>
    <x v="1"/>
    <x v="0"/>
    <x v="2"/>
    <s v="Free"/>
    <n v="0"/>
    <n v="0"/>
    <n v="0"/>
    <n v="0"/>
    <n v="0"/>
    <n v="0"/>
    <n v="0"/>
    <n v="0"/>
    <m/>
    <n v="61.1"/>
  </r>
  <r>
    <s v="USR-100584"/>
    <d v="2025-02-15T00:00:00"/>
    <x v="0"/>
    <x v="3"/>
    <x v="0"/>
    <x v="2"/>
    <s v="Free"/>
    <n v="0"/>
    <n v="0"/>
    <n v="0"/>
    <n v="0"/>
    <n v="0"/>
    <n v="0"/>
    <n v="0"/>
    <n v="0"/>
    <m/>
    <n v="42.4"/>
  </r>
  <r>
    <s v="USR-100585"/>
    <d v="2025-01-08T00:00:00"/>
    <x v="0"/>
    <x v="0"/>
    <x v="1"/>
    <x v="4"/>
    <s v="Free"/>
    <n v="0"/>
    <n v="0"/>
    <n v="0"/>
    <n v="0"/>
    <n v="0"/>
    <n v="1"/>
    <n v="1"/>
    <n v="0"/>
    <m/>
    <n v="46.6"/>
  </r>
  <r>
    <s v="USR-100586"/>
    <d v="2025-01-29T00:00:00"/>
    <x v="0"/>
    <x v="3"/>
    <x v="1"/>
    <x v="1"/>
    <s v="Premium"/>
    <n v="1"/>
    <n v="1"/>
    <n v="0"/>
    <n v="0"/>
    <n v="0"/>
    <n v="0"/>
    <n v="0"/>
    <n v="0"/>
    <m/>
    <n v="72.099999999999994"/>
  </r>
  <r>
    <s v="USR-100587"/>
    <d v="2025-05-07T00:00:00"/>
    <x v="0"/>
    <x v="2"/>
    <x v="2"/>
    <x v="1"/>
    <s v="Free"/>
    <n v="0"/>
    <n v="0"/>
    <n v="0"/>
    <n v="0"/>
    <n v="0"/>
    <n v="0"/>
    <n v="0"/>
    <n v="0"/>
    <m/>
    <n v="21.5"/>
  </r>
  <r>
    <s v="USR-100588"/>
    <d v="2025-03-01T00:00:00"/>
    <x v="0"/>
    <x v="0"/>
    <x v="1"/>
    <x v="4"/>
    <s v="Basic"/>
    <n v="1"/>
    <n v="0"/>
    <n v="0"/>
    <n v="0"/>
    <n v="0"/>
    <n v="1"/>
    <n v="1"/>
    <n v="0"/>
    <m/>
    <n v="65.400000000000006"/>
  </r>
  <r>
    <s v="USR-100589"/>
    <d v="2025-04-20T00:00:00"/>
    <x v="0"/>
    <x v="2"/>
    <x v="1"/>
    <x v="1"/>
    <s v="Free"/>
    <n v="1"/>
    <n v="1"/>
    <n v="0"/>
    <n v="0"/>
    <n v="0"/>
    <n v="0"/>
    <n v="0"/>
    <n v="0"/>
    <m/>
    <n v="53.3"/>
  </r>
  <r>
    <s v="USR-100590"/>
    <d v="2025-01-16T00:00:00"/>
    <x v="0"/>
    <x v="2"/>
    <x v="1"/>
    <x v="1"/>
    <s v="Premium"/>
    <n v="0"/>
    <n v="0"/>
    <n v="0"/>
    <n v="0"/>
    <n v="0"/>
    <n v="2"/>
    <n v="1"/>
    <n v="0"/>
    <m/>
    <n v="52.3"/>
  </r>
  <r>
    <s v="USR-100591"/>
    <d v="2025-04-04T00:00:00"/>
    <x v="0"/>
    <x v="2"/>
    <x v="1"/>
    <x v="2"/>
    <s v="Free"/>
    <n v="1"/>
    <n v="0"/>
    <n v="0"/>
    <n v="0"/>
    <n v="0"/>
    <n v="0"/>
    <n v="0"/>
    <n v="0"/>
    <m/>
    <n v="62.5"/>
  </r>
  <r>
    <s v="USR-100592"/>
    <d v="2025-01-29T00:00:00"/>
    <x v="0"/>
    <x v="0"/>
    <x v="2"/>
    <x v="4"/>
    <s v="Free"/>
    <n v="1"/>
    <n v="0"/>
    <n v="0"/>
    <n v="0"/>
    <n v="0"/>
    <n v="0"/>
    <n v="0"/>
    <n v="0"/>
    <m/>
    <n v="69.8"/>
  </r>
  <r>
    <s v="USR-100593"/>
    <d v="2025-04-19T00:00:00"/>
    <x v="0"/>
    <x v="2"/>
    <x v="1"/>
    <x v="0"/>
    <s v="Free"/>
    <n v="1"/>
    <n v="0"/>
    <n v="0"/>
    <n v="0"/>
    <n v="0"/>
    <n v="0"/>
    <n v="0"/>
    <n v="0"/>
    <m/>
    <n v="68.2"/>
  </r>
  <r>
    <s v="USR-100594"/>
    <d v="2025-03-10T00:00:00"/>
    <x v="0"/>
    <x v="3"/>
    <x v="1"/>
    <x v="4"/>
    <s v="Basic"/>
    <n v="1"/>
    <n v="1"/>
    <n v="1"/>
    <n v="1"/>
    <n v="751.73"/>
    <n v="0"/>
    <n v="0"/>
    <n v="0"/>
    <n v="6"/>
    <n v="35.200000000000003"/>
  </r>
  <r>
    <s v="USR-100595"/>
    <d v="2025-05-10T00:00:00"/>
    <x v="0"/>
    <x v="3"/>
    <x v="1"/>
    <x v="4"/>
    <s v="Basic"/>
    <n v="0"/>
    <n v="0"/>
    <n v="0"/>
    <n v="0"/>
    <n v="0"/>
    <n v="0"/>
    <n v="0"/>
    <n v="0"/>
    <m/>
    <n v="59.3"/>
  </r>
  <r>
    <s v="USR-100596"/>
    <d v="2025-02-02T00:00:00"/>
    <x v="0"/>
    <x v="0"/>
    <x v="1"/>
    <x v="4"/>
    <s v="Free"/>
    <n v="0"/>
    <n v="0"/>
    <n v="0"/>
    <n v="0"/>
    <n v="0"/>
    <n v="0"/>
    <n v="0"/>
    <n v="0"/>
    <m/>
    <n v="68.099999999999994"/>
  </r>
  <r>
    <s v="USR-100597"/>
    <d v="2025-05-06T00:00:00"/>
    <x v="0"/>
    <x v="0"/>
    <x v="0"/>
    <x v="1"/>
    <s v="Free"/>
    <n v="1"/>
    <n v="1"/>
    <n v="0"/>
    <n v="0"/>
    <n v="0"/>
    <n v="0"/>
    <n v="0"/>
    <n v="0"/>
    <m/>
    <n v="74.8"/>
  </r>
  <r>
    <s v="USR-100598"/>
    <d v="2025-01-19T00:00:00"/>
    <x v="0"/>
    <x v="1"/>
    <x v="0"/>
    <x v="1"/>
    <s v="Free"/>
    <n v="1"/>
    <n v="1"/>
    <n v="1"/>
    <n v="0"/>
    <n v="0"/>
    <n v="0"/>
    <n v="0"/>
    <n v="0"/>
    <m/>
    <n v="61.7"/>
  </r>
  <r>
    <s v="USR-100599"/>
    <d v="2025-01-02T00:00:00"/>
    <x v="0"/>
    <x v="0"/>
    <x v="1"/>
    <x v="1"/>
    <s v="Free"/>
    <n v="1"/>
    <n v="0"/>
    <n v="0"/>
    <n v="0"/>
    <n v="0"/>
    <n v="0"/>
    <n v="0"/>
    <n v="0"/>
    <m/>
    <n v="24.3"/>
  </r>
  <r>
    <s v="USR-100600"/>
    <d v="2025-05-03T00:00:00"/>
    <x v="0"/>
    <x v="3"/>
    <x v="0"/>
    <x v="2"/>
    <s v="Free"/>
    <n v="0"/>
    <n v="0"/>
    <n v="0"/>
    <n v="0"/>
    <n v="0"/>
    <n v="1"/>
    <n v="1"/>
    <n v="0"/>
    <m/>
    <n v="61.9"/>
  </r>
  <r>
    <s v="USR-100601"/>
    <d v="2025-05-27T00:00:00"/>
    <x v="0"/>
    <x v="2"/>
    <x v="0"/>
    <x v="3"/>
    <s v="Premium"/>
    <n v="0"/>
    <n v="0"/>
    <n v="0"/>
    <n v="0"/>
    <n v="0"/>
    <n v="2"/>
    <n v="1"/>
    <n v="0"/>
    <m/>
    <n v="41.7"/>
  </r>
  <r>
    <s v="USR-100602"/>
    <d v="2025-02-09T00:00:00"/>
    <x v="0"/>
    <x v="3"/>
    <x v="0"/>
    <x v="4"/>
    <s v="Free"/>
    <n v="1"/>
    <n v="0"/>
    <n v="0"/>
    <n v="0"/>
    <n v="0"/>
    <n v="0"/>
    <n v="0"/>
    <n v="0"/>
    <m/>
    <n v="87.6"/>
  </r>
  <r>
    <s v="USR-100603"/>
    <d v="2025-05-18T00:00:00"/>
    <x v="0"/>
    <x v="2"/>
    <x v="1"/>
    <x v="2"/>
    <s v="Free"/>
    <n v="1"/>
    <n v="0"/>
    <n v="0"/>
    <n v="0"/>
    <n v="0"/>
    <n v="0"/>
    <n v="0"/>
    <n v="0"/>
    <m/>
    <n v="30.8"/>
  </r>
  <r>
    <s v="USR-100604"/>
    <d v="2025-05-17T00:00:00"/>
    <x v="0"/>
    <x v="0"/>
    <x v="1"/>
    <x v="0"/>
    <s v="Free"/>
    <n v="0"/>
    <n v="0"/>
    <n v="0"/>
    <n v="0"/>
    <n v="0"/>
    <n v="0"/>
    <n v="0"/>
    <n v="0"/>
    <m/>
    <n v="54"/>
  </r>
  <r>
    <s v="USR-100605"/>
    <d v="2025-01-25T00:00:00"/>
    <x v="0"/>
    <x v="2"/>
    <x v="0"/>
    <x v="3"/>
    <s v="Basic"/>
    <n v="1"/>
    <n v="0"/>
    <n v="0"/>
    <n v="0"/>
    <n v="0"/>
    <n v="1"/>
    <n v="1"/>
    <n v="0"/>
    <m/>
    <n v="54.5"/>
  </r>
  <r>
    <s v="USR-100606"/>
    <d v="2025-05-04T00:00:00"/>
    <x v="0"/>
    <x v="1"/>
    <x v="1"/>
    <x v="2"/>
    <s v="Premium"/>
    <n v="1"/>
    <n v="1"/>
    <n v="0"/>
    <n v="0"/>
    <n v="0"/>
    <n v="0"/>
    <n v="0"/>
    <n v="0"/>
    <m/>
    <n v="61.3"/>
  </r>
  <r>
    <s v="USR-100607"/>
    <d v="2025-04-14T00:00:00"/>
    <x v="0"/>
    <x v="1"/>
    <x v="1"/>
    <x v="1"/>
    <s v="Free"/>
    <n v="1"/>
    <n v="0"/>
    <n v="0"/>
    <n v="0"/>
    <n v="0"/>
    <n v="0"/>
    <n v="0"/>
    <n v="0"/>
    <m/>
    <n v="62.7"/>
  </r>
  <r>
    <s v="USR-100608"/>
    <d v="2025-04-18T00:00:00"/>
    <x v="0"/>
    <x v="3"/>
    <x v="1"/>
    <x v="2"/>
    <s v="Free"/>
    <n v="1"/>
    <n v="1"/>
    <n v="0"/>
    <n v="0"/>
    <n v="0"/>
    <n v="0"/>
    <n v="0"/>
    <n v="0"/>
    <m/>
    <n v="43.1"/>
  </r>
  <r>
    <s v="USR-100609"/>
    <d v="2025-02-24T00:00:00"/>
    <x v="0"/>
    <x v="3"/>
    <x v="0"/>
    <x v="0"/>
    <s v="Basic"/>
    <n v="0"/>
    <n v="0"/>
    <n v="0"/>
    <n v="0"/>
    <n v="0"/>
    <n v="0"/>
    <n v="0"/>
    <n v="0"/>
    <m/>
    <n v="59.9"/>
  </r>
  <r>
    <s v="USR-100610"/>
    <d v="2025-04-19T00:00:00"/>
    <x v="0"/>
    <x v="0"/>
    <x v="2"/>
    <x v="2"/>
    <s v="Free"/>
    <n v="1"/>
    <n v="1"/>
    <n v="1"/>
    <n v="0"/>
    <n v="0"/>
    <n v="0"/>
    <n v="0"/>
    <n v="0"/>
    <m/>
    <n v="55.7"/>
  </r>
  <r>
    <s v="USR-100611"/>
    <d v="2025-03-07T00:00:00"/>
    <x v="0"/>
    <x v="3"/>
    <x v="0"/>
    <x v="1"/>
    <s v="Basic"/>
    <n v="1"/>
    <n v="0"/>
    <n v="0"/>
    <n v="0"/>
    <n v="0"/>
    <n v="0"/>
    <n v="0"/>
    <n v="0"/>
    <m/>
    <n v="37.1"/>
  </r>
  <r>
    <s v="USR-100612"/>
    <d v="2025-03-09T00:00:00"/>
    <x v="0"/>
    <x v="2"/>
    <x v="1"/>
    <x v="1"/>
    <s v="Basic"/>
    <n v="0"/>
    <n v="0"/>
    <n v="0"/>
    <n v="0"/>
    <n v="0"/>
    <n v="1"/>
    <n v="1"/>
    <n v="0"/>
    <m/>
    <n v="46.7"/>
  </r>
  <r>
    <s v="USR-100613"/>
    <d v="2025-05-01T00:00:00"/>
    <x v="0"/>
    <x v="3"/>
    <x v="0"/>
    <x v="1"/>
    <s v="Basic"/>
    <n v="1"/>
    <n v="0"/>
    <n v="0"/>
    <n v="0"/>
    <n v="0"/>
    <n v="0"/>
    <n v="0"/>
    <n v="0"/>
    <m/>
    <n v="54.1"/>
  </r>
  <r>
    <s v="USR-100614"/>
    <d v="2025-02-09T00:00:00"/>
    <x v="0"/>
    <x v="1"/>
    <x v="0"/>
    <x v="1"/>
    <s v="Premium"/>
    <n v="1"/>
    <n v="1"/>
    <n v="1"/>
    <n v="0"/>
    <n v="0"/>
    <n v="0"/>
    <n v="0"/>
    <n v="0"/>
    <m/>
    <n v="56.1"/>
  </r>
  <r>
    <s v="USR-100615"/>
    <d v="2025-05-22T00:00:00"/>
    <x v="0"/>
    <x v="1"/>
    <x v="1"/>
    <x v="3"/>
    <s v="Premium"/>
    <n v="0"/>
    <n v="0"/>
    <n v="0"/>
    <n v="0"/>
    <n v="0"/>
    <n v="0"/>
    <n v="0"/>
    <n v="0"/>
    <m/>
    <n v="23.6"/>
  </r>
  <r>
    <s v="USR-100616"/>
    <d v="2025-02-11T00:00:00"/>
    <x v="0"/>
    <x v="0"/>
    <x v="1"/>
    <x v="1"/>
    <s v="Premium"/>
    <n v="0"/>
    <n v="0"/>
    <n v="0"/>
    <n v="0"/>
    <n v="0"/>
    <n v="0"/>
    <n v="0"/>
    <n v="0"/>
    <m/>
    <n v="54.7"/>
  </r>
  <r>
    <s v="USR-100617"/>
    <d v="2025-04-12T00:00:00"/>
    <x v="0"/>
    <x v="0"/>
    <x v="1"/>
    <x v="3"/>
    <s v="Basic"/>
    <n v="0"/>
    <n v="0"/>
    <n v="0"/>
    <n v="0"/>
    <n v="0"/>
    <n v="2"/>
    <n v="1"/>
    <n v="0"/>
    <m/>
    <n v="50.4"/>
  </r>
  <r>
    <s v="USR-100618"/>
    <d v="2025-03-01T00:00:00"/>
    <x v="0"/>
    <x v="1"/>
    <x v="1"/>
    <x v="4"/>
    <s v="Free"/>
    <n v="1"/>
    <n v="0"/>
    <n v="0"/>
    <n v="0"/>
    <n v="0"/>
    <n v="0"/>
    <n v="0"/>
    <n v="0"/>
    <m/>
    <n v="54.5"/>
  </r>
  <r>
    <s v="USR-100619"/>
    <d v="2025-03-17T00:00:00"/>
    <x v="0"/>
    <x v="1"/>
    <x v="0"/>
    <x v="0"/>
    <s v="Basic"/>
    <n v="0"/>
    <n v="0"/>
    <n v="0"/>
    <n v="0"/>
    <n v="0"/>
    <n v="0"/>
    <n v="0"/>
    <n v="0"/>
    <m/>
    <n v="58"/>
  </r>
  <r>
    <s v="USR-100620"/>
    <d v="2025-01-11T00:00:00"/>
    <x v="0"/>
    <x v="0"/>
    <x v="1"/>
    <x v="2"/>
    <s v="Free"/>
    <n v="0"/>
    <n v="0"/>
    <n v="0"/>
    <n v="0"/>
    <n v="0"/>
    <n v="0"/>
    <n v="0"/>
    <n v="0"/>
    <m/>
    <n v="42.9"/>
  </r>
  <r>
    <s v="USR-100621"/>
    <d v="2025-02-17T00:00:00"/>
    <x v="0"/>
    <x v="3"/>
    <x v="1"/>
    <x v="4"/>
    <s v="Premium"/>
    <n v="1"/>
    <n v="0"/>
    <n v="0"/>
    <n v="0"/>
    <n v="0"/>
    <n v="0"/>
    <n v="0"/>
    <n v="0"/>
    <m/>
    <n v="51.1"/>
  </r>
  <r>
    <s v="USR-100622"/>
    <d v="2025-03-25T00:00:00"/>
    <x v="0"/>
    <x v="2"/>
    <x v="1"/>
    <x v="2"/>
    <s v="Basic"/>
    <n v="1"/>
    <n v="1"/>
    <n v="0"/>
    <n v="0"/>
    <n v="0"/>
    <n v="0"/>
    <n v="0"/>
    <n v="0"/>
    <m/>
    <n v="51.8"/>
  </r>
  <r>
    <s v="USR-100623"/>
    <d v="2025-05-01T00:00:00"/>
    <x v="0"/>
    <x v="3"/>
    <x v="1"/>
    <x v="2"/>
    <s v="Free"/>
    <n v="0"/>
    <n v="0"/>
    <n v="0"/>
    <n v="0"/>
    <n v="0"/>
    <n v="0"/>
    <n v="0"/>
    <n v="0"/>
    <m/>
    <n v="67.7"/>
  </r>
  <r>
    <s v="USR-100624"/>
    <d v="2025-04-02T00:00:00"/>
    <x v="0"/>
    <x v="2"/>
    <x v="1"/>
    <x v="1"/>
    <s v="Basic"/>
    <n v="0"/>
    <n v="0"/>
    <n v="0"/>
    <n v="0"/>
    <n v="0"/>
    <n v="0"/>
    <n v="0"/>
    <n v="0"/>
    <m/>
    <n v="75.8"/>
  </r>
  <r>
    <s v="USR-100625"/>
    <d v="2025-04-05T00:00:00"/>
    <x v="0"/>
    <x v="2"/>
    <x v="1"/>
    <x v="0"/>
    <s v="Free"/>
    <n v="1"/>
    <n v="1"/>
    <n v="0"/>
    <n v="0"/>
    <n v="0"/>
    <n v="0"/>
    <n v="0"/>
    <n v="0"/>
    <m/>
    <n v="72.8"/>
  </r>
  <r>
    <s v="USR-100626"/>
    <d v="2025-02-24T00:00:00"/>
    <x v="0"/>
    <x v="0"/>
    <x v="0"/>
    <x v="4"/>
    <s v="Free"/>
    <n v="1"/>
    <n v="1"/>
    <n v="0"/>
    <n v="0"/>
    <n v="0"/>
    <n v="0"/>
    <n v="0"/>
    <n v="0"/>
    <m/>
    <n v="54.4"/>
  </r>
  <r>
    <s v="USR-100627"/>
    <d v="2025-01-24T00:00:00"/>
    <x v="0"/>
    <x v="1"/>
    <x v="1"/>
    <x v="2"/>
    <s v="Basic"/>
    <n v="1"/>
    <n v="0"/>
    <n v="0"/>
    <n v="0"/>
    <n v="0"/>
    <n v="0"/>
    <n v="0"/>
    <n v="0"/>
    <m/>
    <n v="51.8"/>
  </r>
  <r>
    <s v="USR-100628"/>
    <d v="2025-04-10T00:00:00"/>
    <x v="0"/>
    <x v="3"/>
    <x v="1"/>
    <x v="2"/>
    <s v="Free"/>
    <n v="0"/>
    <n v="0"/>
    <n v="0"/>
    <n v="0"/>
    <n v="0"/>
    <n v="0"/>
    <n v="0"/>
    <n v="0"/>
    <m/>
    <n v="40.299999999999997"/>
  </r>
  <r>
    <s v="USR-100629"/>
    <d v="2025-02-19T00:00:00"/>
    <x v="0"/>
    <x v="3"/>
    <x v="1"/>
    <x v="3"/>
    <s v="Free"/>
    <n v="1"/>
    <n v="1"/>
    <n v="1"/>
    <n v="0"/>
    <n v="0"/>
    <n v="0"/>
    <n v="0"/>
    <n v="0"/>
    <m/>
    <n v="61.7"/>
  </r>
  <r>
    <s v="USR-100630"/>
    <d v="2025-03-22T00:00:00"/>
    <x v="0"/>
    <x v="0"/>
    <x v="1"/>
    <x v="4"/>
    <s v="Free"/>
    <n v="0"/>
    <n v="0"/>
    <n v="0"/>
    <n v="0"/>
    <n v="0"/>
    <n v="0"/>
    <n v="0"/>
    <n v="0"/>
    <m/>
    <n v="45"/>
  </r>
  <r>
    <s v="USR-100631"/>
    <d v="2025-04-08T00:00:00"/>
    <x v="0"/>
    <x v="2"/>
    <x v="0"/>
    <x v="1"/>
    <s v="Premium"/>
    <n v="1"/>
    <n v="1"/>
    <n v="1"/>
    <n v="0"/>
    <n v="0"/>
    <n v="0"/>
    <n v="0"/>
    <n v="0"/>
    <m/>
    <n v="60"/>
  </r>
  <r>
    <s v="USR-100632"/>
    <d v="2025-03-16T00:00:00"/>
    <x v="0"/>
    <x v="0"/>
    <x v="1"/>
    <x v="4"/>
    <s v="Free"/>
    <n v="1"/>
    <n v="0"/>
    <n v="0"/>
    <n v="0"/>
    <n v="0"/>
    <n v="0"/>
    <n v="0"/>
    <n v="0"/>
    <m/>
    <m/>
  </r>
  <r>
    <s v="USR-100633"/>
    <d v="2025-03-07T00:00:00"/>
    <x v="0"/>
    <x v="2"/>
    <x v="1"/>
    <x v="2"/>
    <s v="Free"/>
    <n v="1"/>
    <n v="0"/>
    <n v="0"/>
    <n v="0"/>
    <n v="0"/>
    <n v="0"/>
    <n v="0"/>
    <n v="0"/>
    <m/>
    <n v="55.5"/>
  </r>
  <r>
    <s v="USR-100634"/>
    <d v="2025-03-16T00:00:00"/>
    <x v="0"/>
    <x v="3"/>
    <x v="1"/>
    <x v="3"/>
    <s v="Basic"/>
    <n v="0"/>
    <n v="0"/>
    <n v="0"/>
    <n v="0"/>
    <n v="0"/>
    <n v="0"/>
    <n v="0"/>
    <n v="0"/>
    <m/>
    <n v="51.8"/>
  </r>
  <r>
    <s v="USR-100635"/>
    <d v="2025-05-26T00:00:00"/>
    <x v="0"/>
    <x v="2"/>
    <x v="1"/>
    <x v="5"/>
    <s v="Premium"/>
    <n v="1"/>
    <n v="0"/>
    <n v="0"/>
    <n v="0"/>
    <n v="0"/>
    <n v="3"/>
    <n v="1"/>
    <n v="0"/>
    <m/>
    <n v="56"/>
  </r>
  <r>
    <s v="USR-100636"/>
    <d v="2025-01-14T00:00:00"/>
    <x v="0"/>
    <x v="1"/>
    <x v="1"/>
    <x v="1"/>
    <s v="Free"/>
    <n v="0"/>
    <n v="0"/>
    <n v="0"/>
    <n v="0"/>
    <n v="0"/>
    <n v="0"/>
    <n v="0"/>
    <n v="0"/>
    <m/>
    <n v="52.5"/>
  </r>
  <r>
    <s v="USR-100637"/>
    <d v="2025-03-30T00:00:00"/>
    <x v="0"/>
    <x v="1"/>
    <x v="1"/>
    <x v="2"/>
    <s v="Premium"/>
    <n v="1"/>
    <n v="0"/>
    <n v="0"/>
    <n v="0"/>
    <n v="0"/>
    <n v="0"/>
    <n v="0"/>
    <n v="0"/>
    <m/>
    <n v="42.5"/>
  </r>
  <r>
    <s v="USR-100638"/>
    <d v="2025-05-12T00:00:00"/>
    <x v="0"/>
    <x v="2"/>
    <x v="0"/>
    <x v="0"/>
    <s v="Free"/>
    <n v="1"/>
    <n v="1"/>
    <n v="1"/>
    <n v="0"/>
    <n v="0"/>
    <n v="0"/>
    <n v="0"/>
    <n v="0"/>
    <m/>
    <n v="65.3"/>
  </r>
  <r>
    <s v="USR-100639"/>
    <d v="2025-05-10T00:00:00"/>
    <x v="0"/>
    <x v="1"/>
    <x v="1"/>
    <x v="2"/>
    <s v="Free"/>
    <n v="0"/>
    <n v="0"/>
    <n v="0"/>
    <n v="0"/>
    <n v="0"/>
    <n v="0"/>
    <n v="0"/>
    <n v="0"/>
    <m/>
    <n v="37.6"/>
  </r>
  <r>
    <s v="USR-100640"/>
    <d v="2025-04-09T00:00:00"/>
    <x v="0"/>
    <x v="2"/>
    <x v="1"/>
    <x v="4"/>
    <s v="Basic"/>
    <n v="0"/>
    <n v="0"/>
    <n v="0"/>
    <n v="0"/>
    <n v="0"/>
    <n v="0"/>
    <n v="0"/>
    <n v="0"/>
    <m/>
    <n v="57.8"/>
  </r>
  <r>
    <s v="USR-100641"/>
    <d v="2025-05-26T00:00:00"/>
    <x v="0"/>
    <x v="0"/>
    <x v="1"/>
    <x v="4"/>
    <s v="Free"/>
    <n v="1"/>
    <n v="0"/>
    <n v="0"/>
    <n v="0"/>
    <n v="0"/>
    <n v="0"/>
    <n v="0"/>
    <n v="0"/>
    <m/>
    <n v="52.7"/>
  </r>
  <r>
    <s v="USR-100642"/>
    <d v="2025-02-12T00:00:00"/>
    <x v="0"/>
    <x v="0"/>
    <x v="1"/>
    <x v="1"/>
    <s v="Free"/>
    <n v="1"/>
    <n v="0"/>
    <n v="0"/>
    <n v="0"/>
    <n v="0"/>
    <n v="0"/>
    <n v="0"/>
    <n v="0"/>
    <m/>
    <n v="51.7"/>
  </r>
  <r>
    <s v="USR-100643"/>
    <d v="2025-04-01T00:00:00"/>
    <x v="0"/>
    <x v="0"/>
    <x v="0"/>
    <x v="0"/>
    <s v="Basic"/>
    <n v="0"/>
    <n v="0"/>
    <n v="0"/>
    <n v="0"/>
    <n v="0"/>
    <n v="0"/>
    <n v="0"/>
    <n v="0"/>
    <m/>
    <n v="57"/>
  </r>
  <r>
    <s v="USR-100644"/>
    <d v="2025-01-18T00:00:00"/>
    <x v="0"/>
    <x v="3"/>
    <x v="0"/>
    <x v="1"/>
    <s v="Basic"/>
    <n v="0"/>
    <n v="0"/>
    <n v="0"/>
    <n v="0"/>
    <n v="0"/>
    <n v="0"/>
    <n v="0"/>
    <n v="0"/>
    <m/>
    <n v="39.5"/>
  </r>
  <r>
    <s v="USR-100645"/>
    <d v="2025-04-06T00:00:00"/>
    <x v="0"/>
    <x v="2"/>
    <x v="2"/>
    <x v="1"/>
    <s v="Free"/>
    <n v="1"/>
    <n v="0"/>
    <n v="0"/>
    <n v="0"/>
    <n v="0"/>
    <n v="0"/>
    <n v="0"/>
    <n v="0"/>
    <m/>
    <n v="76.5"/>
  </r>
  <r>
    <s v="USR-100646"/>
    <d v="2025-04-17T00:00:00"/>
    <x v="0"/>
    <x v="2"/>
    <x v="1"/>
    <x v="1"/>
    <s v="Free"/>
    <n v="1"/>
    <n v="0"/>
    <n v="0"/>
    <n v="0"/>
    <n v="0"/>
    <n v="0"/>
    <n v="0"/>
    <n v="0"/>
    <m/>
    <n v="32.4"/>
  </r>
  <r>
    <s v="USR-100647"/>
    <d v="2025-02-07T00:00:00"/>
    <x v="0"/>
    <x v="0"/>
    <x v="0"/>
    <x v="2"/>
    <s v="Free"/>
    <n v="0"/>
    <n v="0"/>
    <n v="0"/>
    <n v="0"/>
    <n v="0"/>
    <n v="0"/>
    <n v="0"/>
    <n v="0"/>
    <m/>
    <n v="58.6"/>
  </r>
  <r>
    <s v="USR-100648"/>
    <d v="2025-03-04T00:00:00"/>
    <x v="0"/>
    <x v="2"/>
    <x v="1"/>
    <x v="1"/>
    <s v="Basic"/>
    <n v="1"/>
    <n v="0"/>
    <n v="0"/>
    <n v="0"/>
    <n v="0"/>
    <n v="0"/>
    <n v="0"/>
    <n v="0"/>
    <m/>
    <n v="78.599999999999994"/>
  </r>
  <r>
    <s v="USR-100649"/>
    <d v="2025-02-17T00:00:00"/>
    <x v="0"/>
    <x v="0"/>
    <x v="0"/>
    <x v="1"/>
    <s v="Premium"/>
    <n v="0"/>
    <n v="0"/>
    <n v="0"/>
    <n v="0"/>
    <n v="0"/>
    <n v="0"/>
    <n v="0"/>
    <n v="0"/>
    <m/>
    <n v="54.5"/>
  </r>
  <r>
    <s v="USR-100650"/>
    <d v="2025-05-06T00:00:00"/>
    <x v="0"/>
    <x v="3"/>
    <x v="1"/>
    <x v="3"/>
    <s v="Free"/>
    <n v="1"/>
    <n v="0"/>
    <n v="0"/>
    <n v="0"/>
    <n v="0"/>
    <n v="0"/>
    <n v="0"/>
    <n v="0"/>
    <m/>
    <n v="57.6"/>
  </r>
  <r>
    <s v="USR-100651"/>
    <d v="2025-03-25T00:00:00"/>
    <x v="0"/>
    <x v="3"/>
    <x v="1"/>
    <x v="3"/>
    <s v="Premium"/>
    <n v="0"/>
    <n v="0"/>
    <n v="0"/>
    <n v="0"/>
    <n v="0"/>
    <n v="0"/>
    <n v="0"/>
    <n v="0"/>
    <m/>
    <n v="52.8"/>
  </r>
  <r>
    <s v="USR-100652"/>
    <d v="2025-03-04T00:00:00"/>
    <x v="0"/>
    <x v="1"/>
    <x v="1"/>
    <x v="0"/>
    <s v="Premium"/>
    <n v="1"/>
    <n v="0"/>
    <n v="0"/>
    <n v="0"/>
    <n v="0"/>
    <n v="0"/>
    <n v="0"/>
    <n v="0"/>
    <m/>
    <n v="52.9"/>
  </r>
  <r>
    <s v="USR-100653"/>
    <d v="2025-05-09T00:00:00"/>
    <x v="0"/>
    <x v="1"/>
    <x v="1"/>
    <x v="1"/>
    <s v="Free"/>
    <n v="1"/>
    <n v="0"/>
    <n v="0"/>
    <n v="0"/>
    <n v="0"/>
    <n v="1"/>
    <n v="1"/>
    <n v="0"/>
    <m/>
    <n v="55.9"/>
  </r>
  <r>
    <s v="USR-100654"/>
    <d v="2025-05-17T00:00:00"/>
    <x v="0"/>
    <x v="1"/>
    <x v="1"/>
    <x v="3"/>
    <s v="Premium"/>
    <n v="1"/>
    <n v="0"/>
    <n v="0"/>
    <n v="0"/>
    <n v="0"/>
    <n v="0"/>
    <n v="0"/>
    <n v="0"/>
    <m/>
    <n v="74.2"/>
  </r>
  <r>
    <s v="USR-100655"/>
    <d v="2025-01-12T00:00:00"/>
    <x v="0"/>
    <x v="1"/>
    <x v="1"/>
    <x v="1"/>
    <s v="Free"/>
    <n v="0"/>
    <n v="0"/>
    <n v="0"/>
    <n v="0"/>
    <n v="0"/>
    <n v="0"/>
    <n v="0"/>
    <n v="0"/>
    <m/>
    <n v="46.3"/>
  </r>
  <r>
    <s v="USR-100656"/>
    <d v="2025-03-12T00:00:00"/>
    <x v="0"/>
    <x v="1"/>
    <x v="1"/>
    <x v="1"/>
    <s v="Premium"/>
    <n v="1"/>
    <n v="0"/>
    <n v="0"/>
    <n v="0"/>
    <n v="0"/>
    <n v="0"/>
    <n v="0"/>
    <n v="0"/>
    <m/>
    <n v="62"/>
  </r>
  <r>
    <s v="USR-100657"/>
    <d v="2025-04-02T00:00:00"/>
    <x v="0"/>
    <x v="3"/>
    <x v="1"/>
    <x v="1"/>
    <s v="Basic"/>
    <n v="0"/>
    <n v="0"/>
    <n v="0"/>
    <n v="0"/>
    <n v="0"/>
    <n v="0"/>
    <n v="0"/>
    <n v="0"/>
    <m/>
    <n v="55.6"/>
  </r>
  <r>
    <s v="USR-100658"/>
    <d v="2025-01-13T00:00:00"/>
    <x v="0"/>
    <x v="3"/>
    <x v="1"/>
    <x v="1"/>
    <s v="Basic"/>
    <n v="1"/>
    <n v="0"/>
    <n v="0"/>
    <n v="0"/>
    <n v="0"/>
    <n v="0"/>
    <n v="0"/>
    <n v="0"/>
    <m/>
    <n v="62.8"/>
  </r>
  <r>
    <s v="USR-100659"/>
    <d v="2025-03-07T00:00:00"/>
    <x v="0"/>
    <x v="2"/>
    <x v="1"/>
    <x v="3"/>
    <s v="Free"/>
    <n v="0"/>
    <n v="0"/>
    <n v="0"/>
    <n v="0"/>
    <n v="0"/>
    <n v="0"/>
    <n v="0"/>
    <n v="0"/>
    <m/>
    <n v="73.099999999999994"/>
  </r>
  <r>
    <s v="USR-100660"/>
    <d v="2025-04-20T00:00:00"/>
    <x v="0"/>
    <x v="3"/>
    <x v="0"/>
    <x v="4"/>
    <s v="Free"/>
    <n v="1"/>
    <n v="1"/>
    <n v="1"/>
    <n v="1"/>
    <n v="347.52"/>
    <n v="0"/>
    <n v="0"/>
    <n v="0"/>
    <n v="2"/>
    <n v="57.2"/>
  </r>
  <r>
    <s v="USR-100661"/>
    <d v="2025-01-07T00:00:00"/>
    <x v="0"/>
    <x v="3"/>
    <x v="1"/>
    <x v="2"/>
    <s v="Free"/>
    <n v="1"/>
    <n v="0"/>
    <n v="0"/>
    <n v="0"/>
    <n v="0"/>
    <n v="0"/>
    <n v="0"/>
    <n v="0"/>
    <m/>
    <n v="67.900000000000006"/>
  </r>
  <r>
    <s v="USR-100662"/>
    <d v="2025-04-23T00:00:00"/>
    <x v="0"/>
    <x v="3"/>
    <x v="1"/>
    <x v="3"/>
    <s v="Free"/>
    <n v="0"/>
    <n v="0"/>
    <n v="0"/>
    <n v="0"/>
    <n v="0"/>
    <n v="0"/>
    <n v="0"/>
    <n v="0"/>
    <m/>
    <n v="50.1"/>
  </r>
  <r>
    <s v="USR-100663"/>
    <d v="2025-05-26T00:00:00"/>
    <x v="0"/>
    <x v="0"/>
    <x v="1"/>
    <x v="2"/>
    <s v="Basic"/>
    <n v="0"/>
    <n v="0"/>
    <n v="0"/>
    <n v="0"/>
    <n v="0"/>
    <n v="0"/>
    <n v="0"/>
    <n v="0"/>
    <m/>
    <n v="67.8"/>
  </r>
  <r>
    <s v="USR-100664"/>
    <d v="2025-03-17T00:00:00"/>
    <x v="0"/>
    <x v="0"/>
    <x v="0"/>
    <x v="4"/>
    <s v="Basic"/>
    <n v="1"/>
    <n v="1"/>
    <n v="1"/>
    <n v="0"/>
    <n v="0"/>
    <n v="0"/>
    <n v="0"/>
    <n v="0"/>
    <m/>
    <n v="60.8"/>
  </r>
  <r>
    <s v="USR-100665"/>
    <d v="2025-05-17T00:00:00"/>
    <x v="0"/>
    <x v="0"/>
    <x v="0"/>
    <x v="2"/>
    <s v="Basic"/>
    <n v="1"/>
    <n v="0"/>
    <n v="0"/>
    <n v="0"/>
    <n v="0"/>
    <n v="3"/>
    <n v="1"/>
    <n v="0"/>
    <m/>
    <n v="33.700000000000003"/>
  </r>
  <r>
    <s v="USR-100666"/>
    <d v="2025-02-21T00:00:00"/>
    <x v="0"/>
    <x v="0"/>
    <x v="1"/>
    <x v="2"/>
    <s v="Basic"/>
    <n v="0"/>
    <n v="0"/>
    <n v="0"/>
    <n v="0"/>
    <n v="0"/>
    <n v="0"/>
    <n v="0"/>
    <n v="0"/>
    <m/>
    <n v="45.2"/>
  </r>
  <r>
    <s v="USR-100667"/>
    <d v="2025-02-25T00:00:00"/>
    <x v="0"/>
    <x v="2"/>
    <x v="0"/>
    <x v="2"/>
    <s v="Premium"/>
    <n v="0"/>
    <n v="0"/>
    <n v="0"/>
    <n v="0"/>
    <n v="0"/>
    <n v="0"/>
    <n v="0"/>
    <n v="0"/>
    <m/>
    <n v="48.2"/>
  </r>
  <r>
    <s v="USR-100668"/>
    <d v="2025-01-30T00:00:00"/>
    <x v="0"/>
    <x v="3"/>
    <x v="1"/>
    <x v="4"/>
    <s v="Free"/>
    <n v="1"/>
    <n v="1"/>
    <n v="0"/>
    <n v="0"/>
    <n v="0"/>
    <n v="1"/>
    <n v="1"/>
    <n v="0"/>
    <m/>
    <n v="44.8"/>
  </r>
  <r>
    <s v="USR-100669"/>
    <d v="2025-02-17T00:00:00"/>
    <x v="0"/>
    <x v="0"/>
    <x v="2"/>
    <x v="4"/>
    <s v="Basic"/>
    <n v="0"/>
    <n v="0"/>
    <n v="0"/>
    <n v="0"/>
    <n v="0"/>
    <n v="0"/>
    <n v="0"/>
    <n v="0"/>
    <m/>
    <n v="52.1"/>
  </r>
  <r>
    <s v="USR-100670"/>
    <d v="2025-05-17T00:00:00"/>
    <x v="0"/>
    <x v="0"/>
    <x v="0"/>
    <x v="2"/>
    <s v="Basic"/>
    <n v="1"/>
    <n v="0"/>
    <n v="0"/>
    <n v="0"/>
    <n v="0"/>
    <n v="0"/>
    <n v="0"/>
    <n v="0"/>
    <m/>
    <n v="30.7"/>
  </r>
  <r>
    <s v="USR-100671"/>
    <d v="2025-04-30T00:00:00"/>
    <x v="0"/>
    <x v="2"/>
    <x v="0"/>
    <x v="2"/>
    <s v="Free"/>
    <n v="1"/>
    <n v="0"/>
    <n v="0"/>
    <n v="0"/>
    <n v="0"/>
    <n v="0"/>
    <n v="0"/>
    <n v="0"/>
    <m/>
    <n v="58.4"/>
  </r>
  <r>
    <s v="USR-100672"/>
    <d v="2025-03-22T00:00:00"/>
    <x v="0"/>
    <x v="1"/>
    <x v="1"/>
    <x v="3"/>
    <s v="Free"/>
    <n v="1"/>
    <n v="1"/>
    <n v="0"/>
    <n v="0"/>
    <n v="0"/>
    <n v="0"/>
    <n v="0"/>
    <n v="0"/>
    <m/>
    <n v="52.6"/>
  </r>
  <r>
    <s v="USR-100673"/>
    <d v="2025-01-10T00:00:00"/>
    <x v="0"/>
    <x v="1"/>
    <x v="3"/>
    <x v="2"/>
    <s v="Free"/>
    <n v="1"/>
    <n v="0"/>
    <n v="0"/>
    <n v="0"/>
    <n v="0"/>
    <n v="1"/>
    <n v="1"/>
    <n v="0"/>
    <m/>
    <n v="19.100000000000001"/>
  </r>
  <r>
    <s v="USR-100674"/>
    <d v="2025-03-21T00:00:00"/>
    <x v="0"/>
    <x v="3"/>
    <x v="3"/>
    <x v="2"/>
    <s v="Free"/>
    <n v="1"/>
    <n v="0"/>
    <n v="0"/>
    <n v="0"/>
    <n v="0"/>
    <n v="0"/>
    <n v="0"/>
    <n v="0"/>
    <m/>
    <n v="36.799999999999997"/>
  </r>
  <r>
    <s v="USR-100675"/>
    <d v="2025-05-12T00:00:00"/>
    <x v="0"/>
    <x v="0"/>
    <x v="0"/>
    <x v="2"/>
    <s v="Basic"/>
    <n v="0"/>
    <n v="0"/>
    <n v="0"/>
    <n v="0"/>
    <n v="0"/>
    <n v="0"/>
    <n v="0"/>
    <n v="0"/>
    <m/>
    <n v="68.5"/>
  </r>
  <r>
    <s v="USR-100676"/>
    <d v="2025-05-24T00:00:00"/>
    <x v="0"/>
    <x v="1"/>
    <x v="1"/>
    <x v="2"/>
    <s v="Free"/>
    <n v="1"/>
    <n v="1"/>
    <n v="1"/>
    <n v="0"/>
    <n v="0"/>
    <n v="0"/>
    <n v="0"/>
    <n v="0"/>
    <m/>
    <n v="40.1"/>
  </r>
  <r>
    <s v="USR-100677"/>
    <d v="2025-05-03T00:00:00"/>
    <x v="0"/>
    <x v="1"/>
    <x v="2"/>
    <x v="1"/>
    <s v="Free"/>
    <n v="1"/>
    <n v="0"/>
    <n v="0"/>
    <n v="0"/>
    <n v="0"/>
    <n v="0"/>
    <n v="0"/>
    <n v="0"/>
    <m/>
    <n v="47.5"/>
  </r>
  <r>
    <s v="USR-100678"/>
    <d v="2025-01-14T00:00:00"/>
    <x v="0"/>
    <x v="3"/>
    <x v="1"/>
    <x v="1"/>
    <s v="Basic"/>
    <n v="1"/>
    <n v="0"/>
    <n v="0"/>
    <n v="0"/>
    <n v="0"/>
    <n v="0"/>
    <n v="0"/>
    <n v="0"/>
    <m/>
    <n v="77.099999999999994"/>
  </r>
  <r>
    <s v="USR-100679"/>
    <d v="2025-03-27T00:00:00"/>
    <x v="0"/>
    <x v="1"/>
    <x v="1"/>
    <x v="4"/>
    <s v="Basic"/>
    <n v="1"/>
    <n v="0"/>
    <n v="0"/>
    <n v="0"/>
    <n v="0"/>
    <n v="0"/>
    <n v="0"/>
    <n v="0"/>
    <m/>
    <n v="75.900000000000006"/>
  </r>
  <r>
    <s v="USR-100680"/>
    <d v="2025-02-28T00:00:00"/>
    <x v="0"/>
    <x v="0"/>
    <x v="0"/>
    <x v="3"/>
    <s v="Premium"/>
    <n v="0"/>
    <n v="0"/>
    <n v="0"/>
    <n v="0"/>
    <n v="0"/>
    <n v="1"/>
    <n v="1"/>
    <n v="0"/>
    <m/>
    <n v="52"/>
  </r>
  <r>
    <s v="USR-100681"/>
    <d v="2025-05-12T00:00:00"/>
    <x v="0"/>
    <x v="1"/>
    <x v="0"/>
    <x v="3"/>
    <s v="Premium"/>
    <n v="1"/>
    <n v="1"/>
    <n v="1"/>
    <n v="0"/>
    <n v="0"/>
    <n v="0"/>
    <n v="0"/>
    <n v="0"/>
    <m/>
    <n v="64.900000000000006"/>
  </r>
  <r>
    <s v="USR-100682"/>
    <d v="2025-03-14T00:00:00"/>
    <x v="0"/>
    <x v="0"/>
    <x v="1"/>
    <x v="1"/>
    <s v="Free"/>
    <n v="1"/>
    <n v="0"/>
    <n v="0"/>
    <n v="0"/>
    <n v="0"/>
    <n v="0"/>
    <n v="0"/>
    <n v="0"/>
    <m/>
    <n v="48.2"/>
  </r>
  <r>
    <s v="USR-100683"/>
    <d v="2025-05-20T00:00:00"/>
    <x v="0"/>
    <x v="2"/>
    <x v="1"/>
    <x v="1"/>
    <s v="Basic"/>
    <n v="0"/>
    <n v="0"/>
    <n v="0"/>
    <n v="0"/>
    <n v="0"/>
    <n v="0"/>
    <n v="0"/>
    <n v="0"/>
    <m/>
    <n v="42.1"/>
  </r>
  <r>
    <s v="USR-100684"/>
    <d v="2025-02-24T00:00:00"/>
    <x v="0"/>
    <x v="3"/>
    <x v="0"/>
    <x v="3"/>
    <s v="Free"/>
    <n v="0"/>
    <n v="0"/>
    <n v="0"/>
    <n v="0"/>
    <n v="0"/>
    <n v="0"/>
    <n v="0"/>
    <n v="0"/>
    <m/>
    <n v="27.6"/>
  </r>
  <r>
    <s v="USR-100685"/>
    <d v="2025-02-13T00:00:00"/>
    <x v="0"/>
    <x v="1"/>
    <x v="1"/>
    <x v="1"/>
    <s v="Premium"/>
    <n v="1"/>
    <n v="0"/>
    <n v="0"/>
    <n v="0"/>
    <n v="0"/>
    <n v="1"/>
    <n v="1"/>
    <n v="0"/>
    <m/>
    <n v="68.5"/>
  </r>
  <r>
    <s v="USR-100686"/>
    <d v="2025-02-06T00:00:00"/>
    <x v="0"/>
    <x v="3"/>
    <x v="0"/>
    <x v="1"/>
    <s v="Free"/>
    <n v="1"/>
    <n v="1"/>
    <n v="1"/>
    <n v="0"/>
    <n v="0"/>
    <n v="0"/>
    <n v="0"/>
    <n v="0"/>
    <m/>
    <n v="59.2"/>
  </r>
  <r>
    <s v="USR-100687"/>
    <d v="2025-03-02T00:00:00"/>
    <x v="0"/>
    <x v="0"/>
    <x v="1"/>
    <x v="4"/>
    <s v="Basic"/>
    <n v="1"/>
    <n v="0"/>
    <n v="0"/>
    <n v="0"/>
    <n v="0"/>
    <n v="0"/>
    <n v="0"/>
    <n v="0"/>
    <m/>
    <n v="63.3"/>
  </r>
  <r>
    <s v="USR-100688"/>
    <d v="2025-04-28T00:00:00"/>
    <x v="0"/>
    <x v="2"/>
    <x v="0"/>
    <x v="2"/>
    <s v="Free"/>
    <n v="0"/>
    <n v="0"/>
    <n v="0"/>
    <n v="0"/>
    <n v="0"/>
    <n v="0"/>
    <n v="0"/>
    <n v="0"/>
    <m/>
    <n v="55"/>
  </r>
  <r>
    <s v="USR-100689"/>
    <d v="2025-05-27T00:00:00"/>
    <x v="0"/>
    <x v="0"/>
    <x v="0"/>
    <x v="5"/>
    <s v="Premium"/>
    <n v="1"/>
    <n v="0"/>
    <n v="0"/>
    <n v="0"/>
    <n v="0"/>
    <n v="0"/>
    <n v="0"/>
    <n v="0"/>
    <m/>
    <n v="64.8"/>
  </r>
  <r>
    <s v="USR-100690"/>
    <d v="2025-04-07T00:00:00"/>
    <x v="0"/>
    <x v="3"/>
    <x v="0"/>
    <x v="1"/>
    <s v="Basic"/>
    <n v="0"/>
    <n v="0"/>
    <n v="0"/>
    <n v="0"/>
    <n v="0"/>
    <n v="2"/>
    <n v="1"/>
    <n v="0"/>
    <m/>
    <n v="41.8"/>
  </r>
  <r>
    <s v="USR-100691"/>
    <d v="2025-04-14T00:00:00"/>
    <x v="1"/>
    <x v="2"/>
    <x v="0"/>
    <x v="4"/>
    <s v="Basic"/>
    <n v="1"/>
    <n v="0"/>
    <n v="0"/>
    <n v="0"/>
    <n v="0"/>
    <n v="0"/>
    <n v="0"/>
    <n v="0"/>
    <m/>
    <n v="73.2"/>
  </r>
  <r>
    <s v="USR-100692"/>
    <d v="2025-05-09T00:00:00"/>
    <x v="1"/>
    <x v="2"/>
    <x v="0"/>
    <x v="1"/>
    <s v="Basic"/>
    <n v="1"/>
    <n v="1"/>
    <n v="1"/>
    <n v="0"/>
    <n v="0"/>
    <n v="3"/>
    <n v="1"/>
    <n v="0"/>
    <m/>
    <n v="55.7"/>
  </r>
  <r>
    <s v="USR-100693"/>
    <d v="2025-03-21T00:00:00"/>
    <x v="1"/>
    <x v="0"/>
    <x v="1"/>
    <x v="1"/>
    <s v="Free"/>
    <n v="1"/>
    <n v="1"/>
    <n v="1"/>
    <n v="0"/>
    <n v="0"/>
    <n v="0"/>
    <n v="0"/>
    <n v="0"/>
    <m/>
    <n v="82.8"/>
  </r>
  <r>
    <s v="USR-100694"/>
    <d v="2025-03-27T00:00:00"/>
    <x v="1"/>
    <x v="0"/>
    <x v="0"/>
    <x v="4"/>
    <s v="Free"/>
    <n v="1"/>
    <n v="0"/>
    <n v="0"/>
    <n v="0"/>
    <n v="0"/>
    <n v="0"/>
    <n v="0"/>
    <n v="0"/>
    <m/>
    <m/>
  </r>
  <r>
    <s v="USR-100695"/>
    <d v="2025-01-21T00:00:00"/>
    <x v="1"/>
    <x v="3"/>
    <x v="1"/>
    <x v="2"/>
    <s v="Free"/>
    <n v="0"/>
    <n v="0"/>
    <n v="0"/>
    <n v="0"/>
    <n v="0"/>
    <n v="0"/>
    <n v="0"/>
    <n v="0"/>
    <m/>
    <n v="34.4"/>
  </r>
  <r>
    <s v="USR-100696"/>
    <d v="2025-03-19T00:00:00"/>
    <x v="1"/>
    <x v="2"/>
    <x v="0"/>
    <x v="0"/>
    <s v="Free"/>
    <n v="1"/>
    <n v="0"/>
    <n v="0"/>
    <n v="0"/>
    <n v="0"/>
    <n v="0"/>
    <n v="0"/>
    <n v="0"/>
    <m/>
    <n v="45.2"/>
  </r>
  <r>
    <s v="USR-100697"/>
    <d v="2025-05-27T00:00:00"/>
    <x v="1"/>
    <x v="0"/>
    <x v="1"/>
    <x v="1"/>
    <s v="Basic"/>
    <n v="1"/>
    <n v="0"/>
    <n v="0"/>
    <n v="0"/>
    <n v="0"/>
    <n v="0"/>
    <n v="0"/>
    <n v="0"/>
    <m/>
    <n v="71.599999999999994"/>
  </r>
  <r>
    <s v="USR-100698"/>
    <d v="2025-01-01T00:00:00"/>
    <x v="1"/>
    <x v="0"/>
    <x v="1"/>
    <x v="4"/>
    <s v="Free"/>
    <n v="1"/>
    <n v="1"/>
    <n v="1"/>
    <n v="0"/>
    <n v="0"/>
    <n v="0"/>
    <n v="0"/>
    <n v="0"/>
    <m/>
    <n v="69.099999999999994"/>
  </r>
  <r>
    <s v="USR-100699"/>
    <d v="2025-03-29T00:00:00"/>
    <x v="1"/>
    <x v="1"/>
    <x v="0"/>
    <x v="2"/>
    <s v="Premium"/>
    <n v="1"/>
    <n v="0"/>
    <n v="0"/>
    <n v="0"/>
    <n v="0"/>
    <n v="1"/>
    <n v="1"/>
    <n v="0"/>
    <m/>
    <n v="37.700000000000003"/>
  </r>
  <r>
    <s v="USR-100700"/>
    <d v="2025-03-17T00:00:00"/>
    <x v="1"/>
    <x v="1"/>
    <x v="0"/>
    <x v="1"/>
    <s v="Basic"/>
    <n v="1"/>
    <n v="0"/>
    <n v="0"/>
    <n v="0"/>
    <n v="0"/>
    <n v="1"/>
    <n v="1"/>
    <n v="0"/>
    <m/>
    <n v="60.8"/>
  </r>
  <r>
    <s v="USR-100701"/>
    <d v="2025-05-05T00:00:00"/>
    <x v="1"/>
    <x v="0"/>
    <x v="1"/>
    <x v="1"/>
    <s v="Free"/>
    <n v="1"/>
    <n v="1"/>
    <n v="1"/>
    <n v="1"/>
    <n v="444.13"/>
    <n v="0"/>
    <n v="0"/>
    <n v="0"/>
    <n v="10"/>
    <n v="80.7"/>
  </r>
  <r>
    <s v="USR-100702"/>
    <d v="2025-05-04T00:00:00"/>
    <x v="1"/>
    <x v="3"/>
    <x v="1"/>
    <x v="4"/>
    <s v="Free"/>
    <n v="1"/>
    <n v="0"/>
    <n v="0"/>
    <n v="0"/>
    <n v="0"/>
    <n v="0"/>
    <n v="0"/>
    <n v="0"/>
    <m/>
    <n v="69.2"/>
  </r>
  <r>
    <s v="USR-100703"/>
    <d v="2025-03-25T00:00:00"/>
    <x v="1"/>
    <x v="0"/>
    <x v="1"/>
    <x v="4"/>
    <s v="Premium"/>
    <n v="0"/>
    <n v="0"/>
    <n v="0"/>
    <n v="0"/>
    <n v="0"/>
    <n v="3"/>
    <n v="1"/>
    <n v="0"/>
    <m/>
    <n v="55"/>
  </r>
  <r>
    <s v="USR-100704"/>
    <d v="2025-04-17T00:00:00"/>
    <x v="1"/>
    <x v="1"/>
    <x v="1"/>
    <x v="0"/>
    <s v="Free"/>
    <n v="0"/>
    <n v="0"/>
    <n v="0"/>
    <n v="0"/>
    <n v="0"/>
    <n v="1"/>
    <n v="1"/>
    <n v="0"/>
    <m/>
    <n v="73.599999999999994"/>
  </r>
  <r>
    <s v="USR-100705"/>
    <d v="2025-05-23T00:00:00"/>
    <x v="1"/>
    <x v="3"/>
    <x v="1"/>
    <x v="3"/>
    <s v="Basic"/>
    <n v="1"/>
    <n v="1"/>
    <n v="1"/>
    <n v="0"/>
    <n v="0"/>
    <n v="1"/>
    <n v="1"/>
    <n v="0"/>
    <m/>
    <n v="47.3"/>
  </r>
  <r>
    <s v="USR-100706"/>
    <d v="2025-01-13T00:00:00"/>
    <x v="1"/>
    <x v="0"/>
    <x v="1"/>
    <x v="1"/>
    <s v="Basic"/>
    <n v="0"/>
    <n v="0"/>
    <n v="0"/>
    <n v="0"/>
    <n v="0"/>
    <n v="0"/>
    <n v="0"/>
    <n v="0"/>
    <m/>
    <n v="43.6"/>
  </r>
  <r>
    <s v="USR-100707"/>
    <d v="2025-01-29T00:00:00"/>
    <x v="1"/>
    <x v="0"/>
    <x v="0"/>
    <x v="1"/>
    <s v="Basic"/>
    <n v="1"/>
    <n v="0"/>
    <n v="0"/>
    <n v="0"/>
    <n v="0"/>
    <n v="0"/>
    <n v="0"/>
    <n v="0"/>
    <m/>
    <m/>
  </r>
  <r>
    <s v="USR-100708"/>
    <d v="2025-05-11T00:00:00"/>
    <x v="1"/>
    <x v="3"/>
    <x v="1"/>
    <x v="0"/>
    <s v="Free"/>
    <n v="0"/>
    <n v="0"/>
    <n v="0"/>
    <n v="0"/>
    <n v="0"/>
    <n v="0"/>
    <n v="0"/>
    <n v="0"/>
    <m/>
    <n v="55.2"/>
  </r>
  <r>
    <s v="USR-100709"/>
    <d v="2025-04-22T00:00:00"/>
    <x v="1"/>
    <x v="3"/>
    <x v="1"/>
    <x v="1"/>
    <s v="Basic"/>
    <n v="1"/>
    <n v="0"/>
    <n v="0"/>
    <n v="0"/>
    <n v="0"/>
    <n v="0"/>
    <n v="0"/>
    <n v="0"/>
    <m/>
    <n v="49.4"/>
  </r>
  <r>
    <s v="USR-100710"/>
    <d v="2025-03-03T00:00:00"/>
    <x v="1"/>
    <x v="3"/>
    <x v="1"/>
    <x v="4"/>
    <s v="Free"/>
    <n v="1"/>
    <n v="1"/>
    <n v="1"/>
    <n v="0"/>
    <n v="0"/>
    <n v="1"/>
    <n v="1"/>
    <n v="0"/>
    <m/>
    <n v="60.1"/>
  </r>
  <r>
    <s v="USR-100711"/>
    <d v="2025-03-18T00:00:00"/>
    <x v="1"/>
    <x v="0"/>
    <x v="1"/>
    <x v="3"/>
    <s v="Free"/>
    <n v="1"/>
    <n v="0"/>
    <n v="0"/>
    <n v="0"/>
    <n v="0"/>
    <n v="0"/>
    <n v="0"/>
    <n v="0"/>
    <m/>
    <n v="55.9"/>
  </r>
  <r>
    <s v="USR-100712"/>
    <d v="2025-04-05T00:00:00"/>
    <x v="1"/>
    <x v="0"/>
    <x v="1"/>
    <x v="1"/>
    <s v="Basic"/>
    <n v="1"/>
    <n v="0"/>
    <n v="0"/>
    <n v="0"/>
    <n v="0"/>
    <n v="0"/>
    <n v="0"/>
    <n v="0"/>
    <m/>
    <n v="51.5"/>
  </r>
  <r>
    <s v="USR-100713"/>
    <d v="2025-04-16T00:00:00"/>
    <x v="1"/>
    <x v="2"/>
    <x v="1"/>
    <x v="1"/>
    <s v="Free"/>
    <n v="1"/>
    <n v="1"/>
    <n v="1"/>
    <n v="1"/>
    <n v="516.66999999999996"/>
    <n v="0"/>
    <n v="0"/>
    <n v="0"/>
    <n v="11"/>
    <n v="57.9"/>
  </r>
  <r>
    <s v="USR-100714"/>
    <d v="2025-04-20T00:00:00"/>
    <x v="1"/>
    <x v="3"/>
    <x v="1"/>
    <x v="3"/>
    <s v="Free"/>
    <n v="1"/>
    <n v="1"/>
    <n v="1"/>
    <n v="1"/>
    <n v="277.18"/>
    <n v="2"/>
    <n v="1"/>
    <n v="0"/>
    <n v="8"/>
    <n v="59.2"/>
  </r>
  <r>
    <s v="USR-100715"/>
    <d v="2025-02-15T00:00:00"/>
    <x v="1"/>
    <x v="3"/>
    <x v="1"/>
    <x v="1"/>
    <s v="Free"/>
    <n v="0"/>
    <n v="0"/>
    <n v="0"/>
    <n v="0"/>
    <n v="0"/>
    <n v="0"/>
    <n v="0"/>
    <n v="0"/>
    <m/>
    <n v="64.2"/>
  </r>
  <r>
    <s v="USR-100716"/>
    <d v="2025-01-21T00:00:00"/>
    <x v="1"/>
    <x v="3"/>
    <x v="1"/>
    <x v="1"/>
    <s v="Free"/>
    <n v="1"/>
    <n v="0"/>
    <n v="0"/>
    <n v="0"/>
    <n v="0"/>
    <n v="0"/>
    <n v="0"/>
    <n v="0"/>
    <m/>
    <n v="68.8"/>
  </r>
  <r>
    <s v="USR-100717"/>
    <d v="2025-05-23T00:00:00"/>
    <x v="1"/>
    <x v="0"/>
    <x v="1"/>
    <x v="2"/>
    <s v="Premium"/>
    <n v="1"/>
    <n v="1"/>
    <n v="1"/>
    <n v="0"/>
    <n v="0"/>
    <n v="0"/>
    <n v="0"/>
    <n v="0"/>
    <m/>
    <n v="77.900000000000006"/>
  </r>
  <r>
    <s v="USR-100718"/>
    <d v="2025-01-22T00:00:00"/>
    <x v="1"/>
    <x v="1"/>
    <x v="1"/>
    <x v="2"/>
    <s v="Basic"/>
    <n v="0"/>
    <n v="0"/>
    <n v="0"/>
    <n v="0"/>
    <n v="0"/>
    <n v="0"/>
    <n v="0"/>
    <n v="0"/>
    <m/>
    <n v="92.1"/>
  </r>
  <r>
    <s v="USR-100719"/>
    <d v="2025-04-24T00:00:00"/>
    <x v="1"/>
    <x v="1"/>
    <x v="1"/>
    <x v="2"/>
    <s v="Premium"/>
    <n v="0"/>
    <n v="0"/>
    <n v="0"/>
    <n v="0"/>
    <n v="0"/>
    <n v="0"/>
    <n v="0"/>
    <n v="0"/>
    <m/>
    <n v="63.6"/>
  </r>
  <r>
    <s v="USR-100720"/>
    <d v="2025-01-17T00:00:00"/>
    <x v="1"/>
    <x v="1"/>
    <x v="0"/>
    <x v="0"/>
    <s v="Free"/>
    <n v="0"/>
    <n v="0"/>
    <n v="0"/>
    <n v="0"/>
    <n v="0"/>
    <n v="2"/>
    <n v="1"/>
    <n v="0"/>
    <m/>
    <n v="61.6"/>
  </r>
  <r>
    <s v="USR-100721"/>
    <d v="2025-01-22T00:00:00"/>
    <x v="1"/>
    <x v="2"/>
    <x v="1"/>
    <x v="3"/>
    <s v="Basic"/>
    <n v="1"/>
    <n v="1"/>
    <n v="0"/>
    <n v="0"/>
    <n v="0"/>
    <n v="0"/>
    <n v="0"/>
    <n v="0"/>
    <m/>
    <n v="82.3"/>
  </r>
  <r>
    <s v="USR-100722"/>
    <d v="2025-05-04T00:00:00"/>
    <x v="1"/>
    <x v="2"/>
    <x v="0"/>
    <x v="2"/>
    <s v="Free"/>
    <n v="1"/>
    <n v="0"/>
    <n v="0"/>
    <n v="0"/>
    <n v="0"/>
    <n v="0"/>
    <n v="0"/>
    <n v="0"/>
    <m/>
    <n v="79.3"/>
  </r>
  <r>
    <s v="USR-100723"/>
    <d v="2025-03-13T00:00:00"/>
    <x v="1"/>
    <x v="3"/>
    <x v="1"/>
    <x v="5"/>
    <s v="Free"/>
    <n v="0"/>
    <n v="0"/>
    <n v="0"/>
    <n v="0"/>
    <n v="0"/>
    <n v="0"/>
    <n v="0"/>
    <n v="0"/>
    <m/>
    <n v="57.7"/>
  </r>
  <r>
    <s v="USR-100724"/>
    <d v="2025-01-02T00:00:00"/>
    <x v="1"/>
    <x v="0"/>
    <x v="1"/>
    <x v="1"/>
    <s v="Basic"/>
    <n v="1"/>
    <n v="0"/>
    <n v="0"/>
    <n v="0"/>
    <n v="0"/>
    <n v="0"/>
    <n v="0"/>
    <n v="0"/>
    <m/>
    <n v="63.1"/>
  </r>
  <r>
    <s v="USR-100725"/>
    <d v="2025-01-13T00:00:00"/>
    <x v="1"/>
    <x v="2"/>
    <x v="1"/>
    <x v="2"/>
    <s v="Basic"/>
    <n v="0"/>
    <n v="0"/>
    <n v="0"/>
    <n v="0"/>
    <n v="0"/>
    <n v="0"/>
    <n v="0"/>
    <n v="0"/>
    <m/>
    <n v="72.3"/>
  </r>
  <r>
    <s v="USR-100726"/>
    <d v="2025-02-09T00:00:00"/>
    <x v="1"/>
    <x v="2"/>
    <x v="1"/>
    <x v="4"/>
    <s v="Free"/>
    <n v="1"/>
    <n v="1"/>
    <n v="1"/>
    <n v="0"/>
    <n v="0"/>
    <n v="0"/>
    <n v="0"/>
    <n v="0"/>
    <m/>
    <n v="78"/>
  </r>
  <r>
    <s v="USR-100727"/>
    <d v="2025-04-09T00:00:00"/>
    <x v="1"/>
    <x v="2"/>
    <x v="0"/>
    <x v="4"/>
    <s v="Free"/>
    <n v="1"/>
    <n v="1"/>
    <n v="0"/>
    <n v="0"/>
    <n v="0"/>
    <n v="2"/>
    <n v="1"/>
    <n v="0"/>
    <m/>
    <n v="59.1"/>
  </r>
  <r>
    <s v="USR-100728"/>
    <d v="2025-01-02T00:00:00"/>
    <x v="1"/>
    <x v="3"/>
    <x v="1"/>
    <x v="2"/>
    <s v="Free"/>
    <n v="1"/>
    <n v="1"/>
    <n v="1"/>
    <n v="1"/>
    <n v="604.09"/>
    <n v="0"/>
    <n v="0"/>
    <n v="0"/>
    <n v="7"/>
    <n v="47.1"/>
  </r>
  <r>
    <s v="USR-100729"/>
    <d v="2025-02-04T00:00:00"/>
    <x v="1"/>
    <x v="3"/>
    <x v="1"/>
    <x v="5"/>
    <s v="Premium"/>
    <n v="1"/>
    <n v="0"/>
    <n v="0"/>
    <n v="0"/>
    <n v="0"/>
    <n v="0"/>
    <n v="0"/>
    <n v="0"/>
    <m/>
    <n v="64.900000000000006"/>
  </r>
  <r>
    <s v="USR-100730"/>
    <d v="2025-02-19T00:00:00"/>
    <x v="1"/>
    <x v="3"/>
    <x v="2"/>
    <x v="2"/>
    <s v="Free"/>
    <n v="0"/>
    <n v="0"/>
    <n v="0"/>
    <n v="0"/>
    <n v="0"/>
    <n v="0"/>
    <n v="0"/>
    <n v="0"/>
    <m/>
    <n v="67.3"/>
  </r>
  <r>
    <s v="USR-100731"/>
    <d v="2025-04-01T00:00:00"/>
    <x v="1"/>
    <x v="2"/>
    <x v="1"/>
    <x v="2"/>
    <s v="Basic"/>
    <n v="1"/>
    <n v="0"/>
    <n v="0"/>
    <n v="0"/>
    <n v="0"/>
    <n v="2"/>
    <n v="1"/>
    <n v="0"/>
    <m/>
    <n v="52.9"/>
  </r>
  <r>
    <s v="USR-100732"/>
    <d v="2025-01-29T00:00:00"/>
    <x v="1"/>
    <x v="0"/>
    <x v="1"/>
    <x v="3"/>
    <s v="Free"/>
    <n v="1"/>
    <n v="1"/>
    <n v="1"/>
    <n v="1"/>
    <n v="442.37"/>
    <n v="1"/>
    <n v="1"/>
    <n v="0"/>
    <n v="4"/>
    <n v="69.900000000000006"/>
  </r>
  <r>
    <s v="USR-100733"/>
    <d v="2025-05-18T00:00:00"/>
    <x v="1"/>
    <x v="0"/>
    <x v="1"/>
    <x v="3"/>
    <s v="Basic"/>
    <n v="1"/>
    <n v="1"/>
    <n v="1"/>
    <n v="0"/>
    <n v="0"/>
    <n v="0"/>
    <n v="0"/>
    <n v="0"/>
    <m/>
    <n v="78.900000000000006"/>
  </r>
  <r>
    <s v="USR-100734"/>
    <d v="2025-04-15T00:00:00"/>
    <x v="1"/>
    <x v="2"/>
    <x v="0"/>
    <x v="4"/>
    <s v="Premium"/>
    <n v="1"/>
    <n v="1"/>
    <n v="0"/>
    <n v="0"/>
    <n v="0"/>
    <n v="0"/>
    <n v="0"/>
    <n v="0"/>
    <m/>
    <n v="83.3"/>
  </r>
  <r>
    <s v="USR-100735"/>
    <d v="2025-03-28T00:00:00"/>
    <x v="1"/>
    <x v="2"/>
    <x v="0"/>
    <x v="0"/>
    <s v="Free"/>
    <n v="1"/>
    <n v="0"/>
    <n v="0"/>
    <n v="0"/>
    <n v="0"/>
    <n v="1"/>
    <n v="1"/>
    <n v="0"/>
    <m/>
    <n v="24.5"/>
  </r>
  <r>
    <s v="USR-100736"/>
    <d v="2025-04-01T00:00:00"/>
    <x v="1"/>
    <x v="1"/>
    <x v="1"/>
    <x v="2"/>
    <s v="Basic"/>
    <n v="1"/>
    <n v="1"/>
    <n v="0"/>
    <n v="0"/>
    <n v="0"/>
    <n v="1"/>
    <n v="1"/>
    <n v="0"/>
    <m/>
    <n v="56.9"/>
  </r>
  <r>
    <s v="USR-100737"/>
    <d v="2025-02-11T00:00:00"/>
    <x v="1"/>
    <x v="1"/>
    <x v="1"/>
    <x v="4"/>
    <s v="Basic"/>
    <n v="1"/>
    <n v="0"/>
    <n v="0"/>
    <n v="0"/>
    <n v="0"/>
    <n v="0"/>
    <n v="0"/>
    <n v="0"/>
    <m/>
    <n v="69.900000000000006"/>
  </r>
  <r>
    <s v="USR-100738"/>
    <d v="2025-03-04T00:00:00"/>
    <x v="1"/>
    <x v="3"/>
    <x v="1"/>
    <x v="1"/>
    <s v="Free"/>
    <n v="1"/>
    <n v="1"/>
    <n v="1"/>
    <n v="0"/>
    <n v="0"/>
    <n v="0"/>
    <n v="0"/>
    <n v="0"/>
    <m/>
    <n v="81.5"/>
  </r>
  <r>
    <s v="USR-100739"/>
    <d v="2025-01-21T00:00:00"/>
    <x v="1"/>
    <x v="0"/>
    <x v="2"/>
    <x v="4"/>
    <s v="Basic"/>
    <n v="0"/>
    <n v="0"/>
    <n v="0"/>
    <n v="0"/>
    <n v="0"/>
    <n v="2"/>
    <n v="1"/>
    <n v="0"/>
    <m/>
    <n v="37.9"/>
  </r>
  <r>
    <s v="USR-100740"/>
    <d v="2025-02-14T00:00:00"/>
    <x v="1"/>
    <x v="0"/>
    <x v="1"/>
    <x v="3"/>
    <s v="Free"/>
    <n v="0"/>
    <n v="0"/>
    <n v="0"/>
    <n v="0"/>
    <n v="0"/>
    <n v="1"/>
    <n v="1"/>
    <n v="0"/>
    <m/>
    <n v="61.7"/>
  </r>
  <r>
    <s v="USR-100741"/>
    <d v="2025-03-30T00:00:00"/>
    <x v="1"/>
    <x v="0"/>
    <x v="0"/>
    <x v="5"/>
    <s v="Premium"/>
    <n v="1"/>
    <n v="0"/>
    <n v="0"/>
    <n v="0"/>
    <n v="0"/>
    <n v="2"/>
    <n v="1"/>
    <n v="0"/>
    <m/>
    <n v="53.2"/>
  </r>
  <r>
    <s v="USR-100742"/>
    <d v="2025-01-08T00:00:00"/>
    <x v="1"/>
    <x v="0"/>
    <x v="1"/>
    <x v="3"/>
    <s v="Free"/>
    <n v="0"/>
    <n v="0"/>
    <n v="0"/>
    <n v="0"/>
    <n v="0"/>
    <n v="0"/>
    <n v="0"/>
    <n v="0"/>
    <m/>
    <n v="61.9"/>
  </r>
  <r>
    <s v="USR-100743"/>
    <d v="2025-02-07T00:00:00"/>
    <x v="1"/>
    <x v="0"/>
    <x v="1"/>
    <x v="4"/>
    <s v="Free"/>
    <n v="1"/>
    <n v="1"/>
    <n v="1"/>
    <n v="0"/>
    <n v="0"/>
    <n v="0"/>
    <n v="0"/>
    <n v="0"/>
    <m/>
    <n v="68.900000000000006"/>
  </r>
  <r>
    <s v="USR-100744"/>
    <d v="2025-02-01T00:00:00"/>
    <x v="1"/>
    <x v="0"/>
    <x v="2"/>
    <x v="2"/>
    <s v="Basic"/>
    <n v="0"/>
    <n v="0"/>
    <n v="0"/>
    <n v="0"/>
    <n v="0"/>
    <n v="0"/>
    <n v="0"/>
    <n v="0"/>
    <m/>
    <n v="66.3"/>
  </r>
  <r>
    <s v="USR-100745"/>
    <d v="2025-01-04T00:00:00"/>
    <x v="1"/>
    <x v="2"/>
    <x v="1"/>
    <x v="0"/>
    <s v="Free"/>
    <n v="1"/>
    <n v="1"/>
    <n v="1"/>
    <n v="0"/>
    <n v="0"/>
    <n v="0"/>
    <n v="0"/>
    <n v="0"/>
    <m/>
    <n v="54.6"/>
  </r>
  <r>
    <s v="USR-100746"/>
    <d v="2025-05-16T00:00:00"/>
    <x v="1"/>
    <x v="3"/>
    <x v="0"/>
    <x v="3"/>
    <s v="Free"/>
    <n v="0"/>
    <n v="0"/>
    <n v="0"/>
    <n v="0"/>
    <n v="0"/>
    <n v="0"/>
    <n v="0"/>
    <n v="0"/>
    <m/>
    <n v="53.8"/>
  </r>
  <r>
    <s v="USR-100747"/>
    <d v="2025-02-28T00:00:00"/>
    <x v="1"/>
    <x v="1"/>
    <x v="1"/>
    <x v="3"/>
    <s v="Free"/>
    <n v="1"/>
    <n v="0"/>
    <n v="0"/>
    <n v="0"/>
    <n v="0"/>
    <n v="0"/>
    <n v="0"/>
    <n v="0"/>
    <m/>
    <n v="59.5"/>
  </r>
  <r>
    <s v="USR-100748"/>
    <d v="2025-04-12T00:00:00"/>
    <x v="1"/>
    <x v="0"/>
    <x v="1"/>
    <x v="3"/>
    <s v="Free"/>
    <n v="1"/>
    <n v="0"/>
    <n v="0"/>
    <n v="0"/>
    <n v="0"/>
    <n v="0"/>
    <n v="0"/>
    <n v="0"/>
    <m/>
    <n v="52.6"/>
  </r>
  <r>
    <s v="USR-100749"/>
    <d v="2025-03-23T00:00:00"/>
    <x v="1"/>
    <x v="3"/>
    <x v="0"/>
    <x v="1"/>
    <s v="Free"/>
    <n v="0"/>
    <n v="0"/>
    <n v="0"/>
    <n v="0"/>
    <n v="0"/>
    <n v="0"/>
    <n v="0"/>
    <n v="0"/>
    <m/>
    <n v="49"/>
  </r>
  <r>
    <s v="USR-100750"/>
    <d v="2025-05-29T00:00:00"/>
    <x v="1"/>
    <x v="0"/>
    <x v="2"/>
    <x v="1"/>
    <s v="Free"/>
    <n v="1"/>
    <n v="0"/>
    <n v="0"/>
    <n v="0"/>
    <n v="0"/>
    <n v="0"/>
    <n v="0"/>
    <n v="0"/>
    <m/>
    <n v="59.3"/>
  </r>
  <r>
    <s v="USR-100751"/>
    <d v="2025-05-21T00:00:00"/>
    <x v="1"/>
    <x v="3"/>
    <x v="0"/>
    <x v="1"/>
    <s v="Basic"/>
    <n v="0"/>
    <n v="0"/>
    <n v="0"/>
    <n v="0"/>
    <n v="0"/>
    <n v="0"/>
    <n v="0"/>
    <n v="0"/>
    <m/>
    <n v="67.2"/>
  </r>
  <r>
    <s v="USR-100752"/>
    <d v="2025-01-05T00:00:00"/>
    <x v="1"/>
    <x v="3"/>
    <x v="1"/>
    <x v="3"/>
    <s v="Premium"/>
    <n v="0"/>
    <n v="0"/>
    <n v="0"/>
    <n v="0"/>
    <n v="0"/>
    <n v="0"/>
    <n v="0"/>
    <n v="0"/>
    <m/>
    <n v="73.5"/>
  </r>
  <r>
    <s v="USR-100753"/>
    <d v="2025-03-19T00:00:00"/>
    <x v="1"/>
    <x v="2"/>
    <x v="2"/>
    <x v="1"/>
    <s v="Free"/>
    <n v="1"/>
    <n v="0"/>
    <n v="0"/>
    <n v="0"/>
    <n v="0"/>
    <n v="0"/>
    <n v="0"/>
    <n v="0"/>
    <m/>
    <n v="61.2"/>
  </r>
  <r>
    <s v="USR-100754"/>
    <d v="2025-04-24T00:00:00"/>
    <x v="1"/>
    <x v="2"/>
    <x v="1"/>
    <x v="1"/>
    <s v="Free"/>
    <n v="1"/>
    <n v="0"/>
    <n v="0"/>
    <n v="0"/>
    <n v="0"/>
    <n v="1"/>
    <n v="1"/>
    <n v="0"/>
    <m/>
    <n v="56.4"/>
  </r>
  <r>
    <s v="USR-100755"/>
    <d v="2025-03-10T00:00:00"/>
    <x v="1"/>
    <x v="0"/>
    <x v="2"/>
    <x v="1"/>
    <s v="Free"/>
    <n v="0"/>
    <n v="0"/>
    <n v="0"/>
    <n v="0"/>
    <n v="0"/>
    <n v="3"/>
    <n v="1"/>
    <n v="0"/>
    <m/>
    <n v="72.599999999999994"/>
  </r>
  <r>
    <s v="USR-100756"/>
    <d v="2025-02-22T00:00:00"/>
    <x v="1"/>
    <x v="3"/>
    <x v="2"/>
    <x v="3"/>
    <s v="Basic"/>
    <n v="1"/>
    <n v="0"/>
    <n v="0"/>
    <n v="0"/>
    <n v="0"/>
    <n v="0"/>
    <n v="0"/>
    <n v="0"/>
    <m/>
    <n v="61.7"/>
  </r>
  <r>
    <s v="USR-100757"/>
    <d v="2025-05-17T00:00:00"/>
    <x v="1"/>
    <x v="2"/>
    <x v="1"/>
    <x v="4"/>
    <s v="Free"/>
    <n v="0"/>
    <n v="0"/>
    <n v="0"/>
    <n v="0"/>
    <n v="0"/>
    <n v="1"/>
    <n v="1"/>
    <n v="0"/>
    <m/>
    <n v="66.900000000000006"/>
  </r>
  <r>
    <s v="USR-100758"/>
    <d v="2025-05-09T00:00:00"/>
    <x v="1"/>
    <x v="2"/>
    <x v="2"/>
    <x v="3"/>
    <s v="Premium"/>
    <n v="1"/>
    <n v="1"/>
    <n v="1"/>
    <n v="1"/>
    <n v="1506.24"/>
    <n v="1"/>
    <n v="1"/>
    <n v="0"/>
    <n v="7"/>
    <n v="64.900000000000006"/>
  </r>
  <r>
    <s v="USR-100759"/>
    <d v="2025-04-26T00:00:00"/>
    <x v="1"/>
    <x v="2"/>
    <x v="2"/>
    <x v="1"/>
    <s v="Premium"/>
    <n v="1"/>
    <n v="0"/>
    <n v="0"/>
    <n v="0"/>
    <n v="0"/>
    <n v="0"/>
    <n v="0"/>
    <n v="0"/>
    <m/>
    <n v="57.5"/>
  </r>
  <r>
    <s v="USR-100760"/>
    <d v="2025-03-15T00:00:00"/>
    <x v="1"/>
    <x v="1"/>
    <x v="0"/>
    <x v="4"/>
    <s v="Free"/>
    <n v="1"/>
    <n v="1"/>
    <n v="1"/>
    <n v="0"/>
    <n v="0"/>
    <n v="0"/>
    <n v="0"/>
    <n v="0"/>
    <m/>
    <n v="76.3"/>
  </r>
  <r>
    <s v="USR-100761"/>
    <d v="2025-04-03T00:00:00"/>
    <x v="1"/>
    <x v="0"/>
    <x v="1"/>
    <x v="2"/>
    <s v="Free"/>
    <n v="0"/>
    <n v="0"/>
    <n v="0"/>
    <n v="0"/>
    <n v="0"/>
    <n v="0"/>
    <n v="0"/>
    <n v="0"/>
    <m/>
    <n v="47.5"/>
  </r>
  <r>
    <s v="USR-100762"/>
    <d v="2025-03-26T00:00:00"/>
    <x v="1"/>
    <x v="3"/>
    <x v="1"/>
    <x v="2"/>
    <s v="Free"/>
    <n v="0"/>
    <n v="0"/>
    <n v="0"/>
    <n v="0"/>
    <n v="0"/>
    <n v="0"/>
    <n v="0"/>
    <n v="0"/>
    <m/>
    <m/>
  </r>
  <r>
    <s v="USR-100763"/>
    <d v="2025-02-05T00:00:00"/>
    <x v="1"/>
    <x v="1"/>
    <x v="0"/>
    <x v="1"/>
    <s v="Basic"/>
    <n v="1"/>
    <n v="1"/>
    <n v="0"/>
    <n v="0"/>
    <n v="0"/>
    <n v="2"/>
    <n v="1"/>
    <n v="0"/>
    <m/>
    <n v="71.599999999999994"/>
  </r>
  <r>
    <s v="USR-100764"/>
    <d v="2025-05-08T00:00:00"/>
    <x v="1"/>
    <x v="3"/>
    <x v="1"/>
    <x v="4"/>
    <s v="Basic"/>
    <n v="1"/>
    <n v="1"/>
    <n v="0"/>
    <n v="0"/>
    <n v="0"/>
    <n v="0"/>
    <n v="0"/>
    <n v="0"/>
    <m/>
    <n v="55.8"/>
  </r>
  <r>
    <s v="USR-100765"/>
    <d v="2025-03-25T00:00:00"/>
    <x v="1"/>
    <x v="3"/>
    <x v="0"/>
    <x v="1"/>
    <s v="Basic"/>
    <n v="0"/>
    <n v="0"/>
    <n v="0"/>
    <n v="0"/>
    <n v="0"/>
    <n v="1"/>
    <n v="1"/>
    <n v="0"/>
    <m/>
    <n v="60.1"/>
  </r>
  <r>
    <s v="USR-100766"/>
    <d v="2025-01-14T00:00:00"/>
    <x v="1"/>
    <x v="1"/>
    <x v="3"/>
    <x v="0"/>
    <s v="Basic"/>
    <n v="1"/>
    <n v="1"/>
    <n v="1"/>
    <n v="0"/>
    <n v="0"/>
    <n v="1"/>
    <n v="1"/>
    <n v="0"/>
    <m/>
    <n v="59.3"/>
  </r>
  <r>
    <s v="USR-100767"/>
    <d v="2025-03-26T00:00:00"/>
    <x v="1"/>
    <x v="0"/>
    <x v="1"/>
    <x v="1"/>
    <s v="Free"/>
    <n v="1"/>
    <n v="1"/>
    <n v="0"/>
    <n v="0"/>
    <n v="0"/>
    <n v="2"/>
    <n v="1"/>
    <n v="0"/>
    <m/>
    <n v="49.3"/>
  </r>
  <r>
    <s v="USR-100768"/>
    <d v="2025-01-16T00:00:00"/>
    <x v="1"/>
    <x v="2"/>
    <x v="1"/>
    <x v="3"/>
    <s v="Free"/>
    <n v="1"/>
    <n v="0"/>
    <n v="0"/>
    <n v="0"/>
    <n v="0"/>
    <n v="0"/>
    <n v="0"/>
    <n v="0"/>
    <m/>
    <n v="75"/>
  </r>
  <r>
    <s v="USR-100769"/>
    <d v="2025-01-04T00:00:00"/>
    <x v="1"/>
    <x v="2"/>
    <x v="1"/>
    <x v="4"/>
    <s v="Free"/>
    <n v="1"/>
    <n v="0"/>
    <n v="0"/>
    <n v="0"/>
    <n v="0"/>
    <n v="0"/>
    <n v="0"/>
    <n v="0"/>
    <m/>
    <n v="70.2"/>
  </r>
  <r>
    <s v="USR-100770"/>
    <d v="2025-02-09T00:00:00"/>
    <x v="1"/>
    <x v="3"/>
    <x v="0"/>
    <x v="1"/>
    <s v="Premium"/>
    <n v="1"/>
    <n v="1"/>
    <n v="1"/>
    <n v="0"/>
    <n v="0"/>
    <n v="0"/>
    <n v="0"/>
    <n v="0"/>
    <m/>
    <n v="56.6"/>
  </r>
  <r>
    <s v="USR-100771"/>
    <d v="2025-03-05T00:00:00"/>
    <x v="1"/>
    <x v="2"/>
    <x v="0"/>
    <x v="1"/>
    <s v="Free"/>
    <n v="1"/>
    <n v="0"/>
    <n v="0"/>
    <n v="0"/>
    <n v="0"/>
    <n v="0"/>
    <n v="0"/>
    <n v="0"/>
    <m/>
    <n v="65.400000000000006"/>
  </r>
  <r>
    <s v="USR-100772"/>
    <d v="2025-03-10T00:00:00"/>
    <x v="1"/>
    <x v="2"/>
    <x v="1"/>
    <x v="3"/>
    <s v="Basic"/>
    <n v="1"/>
    <n v="0"/>
    <n v="0"/>
    <n v="0"/>
    <n v="0"/>
    <n v="0"/>
    <n v="0"/>
    <n v="0"/>
    <m/>
    <n v="47.6"/>
  </r>
  <r>
    <s v="USR-100773"/>
    <d v="2025-02-27T00:00:00"/>
    <x v="1"/>
    <x v="2"/>
    <x v="0"/>
    <x v="2"/>
    <s v="Free"/>
    <n v="1"/>
    <n v="0"/>
    <n v="0"/>
    <n v="0"/>
    <n v="0"/>
    <n v="0"/>
    <n v="0"/>
    <n v="0"/>
    <m/>
    <n v="56.7"/>
  </r>
  <r>
    <s v="USR-100774"/>
    <d v="2025-03-10T00:00:00"/>
    <x v="1"/>
    <x v="0"/>
    <x v="0"/>
    <x v="3"/>
    <s v="Basic"/>
    <n v="1"/>
    <n v="1"/>
    <n v="0"/>
    <n v="0"/>
    <n v="0"/>
    <n v="0"/>
    <n v="0"/>
    <n v="0"/>
    <m/>
    <n v="71.400000000000006"/>
  </r>
  <r>
    <s v="USR-100775"/>
    <d v="2025-04-23T00:00:00"/>
    <x v="1"/>
    <x v="1"/>
    <x v="1"/>
    <x v="4"/>
    <s v="Free"/>
    <n v="0"/>
    <n v="0"/>
    <n v="0"/>
    <n v="0"/>
    <n v="0"/>
    <n v="2"/>
    <n v="1"/>
    <n v="0"/>
    <m/>
    <n v="60.5"/>
  </r>
  <r>
    <s v="USR-100776"/>
    <d v="2025-04-12T00:00:00"/>
    <x v="1"/>
    <x v="0"/>
    <x v="0"/>
    <x v="2"/>
    <s v="Free"/>
    <n v="1"/>
    <n v="0"/>
    <n v="0"/>
    <n v="0"/>
    <n v="0"/>
    <n v="0"/>
    <n v="0"/>
    <n v="0"/>
    <m/>
    <n v="46.7"/>
  </r>
  <r>
    <s v="USR-100777"/>
    <d v="2025-01-26T00:00:00"/>
    <x v="1"/>
    <x v="2"/>
    <x v="0"/>
    <x v="3"/>
    <s v="Free"/>
    <n v="0"/>
    <n v="0"/>
    <n v="0"/>
    <n v="0"/>
    <n v="0"/>
    <n v="0"/>
    <n v="0"/>
    <n v="0"/>
    <m/>
    <n v="61"/>
  </r>
  <r>
    <s v="USR-100778"/>
    <d v="2025-05-24T00:00:00"/>
    <x v="1"/>
    <x v="1"/>
    <x v="2"/>
    <x v="2"/>
    <s v="Free"/>
    <n v="0"/>
    <n v="0"/>
    <n v="0"/>
    <n v="0"/>
    <n v="0"/>
    <n v="0"/>
    <n v="0"/>
    <n v="0"/>
    <m/>
    <n v="60.9"/>
  </r>
  <r>
    <s v="USR-100779"/>
    <d v="2025-01-08T00:00:00"/>
    <x v="1"/>
    <x v="3"/>
    <x v="1"/>
    <x v="1"/>
    <s v="Free"/>
    <n v="1"/>
    <n v="0"/>
    <n v="0"/>
    <n v="0"/>
    <n v="0"/>
    <n v="0"/>
    <n v="0"/>
    <n v="0"/>
    <m/>
    <n v="67.099999999999994"/>
  </r>
  <r>
    <s v="USR-100780"/>
    <d v="2025-04-15T00:00:00"/>
    <x v="1"/>
    <x v="0"/>
    <x v="1"/>
    <x v="3"/>
    <s v="Free"/>
    <n v="1"/>
    <n v="1"/>
    <n v="0"/>
    <n v="0"/>
    <n v="0"/>
    <n v="0"/>
    <n v="0"/>
    <n v="0"/>
    <m/>
    <n v="59.6"/>
  </r>
  <r>
    <s v="USR-100781"/>
    <d v="2025-01-15T00:00:00"/>
    <x v="1"/>
    <x v="3"/>
    <x v="0"/>
    <x v="2"/>
    <s v="Free"/>
    <n v="1"/>
    <n v="0"/>
    <n v="0"/>
    <n v="0"/>
    <n v="0"/>
    <n v="0"/>
    <n v="0"/>
    <n v="0"/>
    <m/>
    <n v="83.8"/>
  </r>
  <r>
    <s v="USR-100782"/>
    <d v="2025-02-28T00:00:00"/>
    <x v="1"/>
    <x v="0"/>
    <x v="1"/>
    <x v="1"/>
    <s v="Basic"/>
    <n v="1"/>
    <n v="1"/>
    <n v="1"/>
    <n v="0"/>
    <n v="0"/>
    <n v="0"/>
    <n v="0"/>
    <n v="0"/>
    <m/>
    <n v="70.8"/>
  </r>
  <r>
    <s v="USR-100783"/>
    <d v="2025-01-01T00:00:00"/>
    <x v="1"/>
    <x v="0"/>
    <x v="2"/>
    <x v="1"/>
    <s v="Basic"/>
    <n v="0"/>
    <n v="0"/>
    <n v="0"/>
    <n v="0"/>
    <n v="0"/>
    <n v="0"/>
    <n v="0"/>
    <n v="0"/>
    <m/>
    <n v="65.900000000000006"/>
  </r>
  <r>
    <s v="USR-100784"/>
    <d v="2025-04-17T00:00:00"/>
    <x v="1"/>
    <x v="1"/>
    <x v="1"/>
    <x v="3"/>
    <s v="Free"/>
    <n v="1"/>
    <n v="0"/>
    <n v="0"/>
    <n v="0"/>
    <n v="0"/>
    <n v="0"/>
    <n v="0"/>
    <n v="0"/>
    <m/>
    <n v="58"/>
  </r>
  <r>
    <s v="USR-100785"/>
    <d v="2025-02-19T00:00:00"/>
    <x v="1"/>
    <x v="0"/>
    <x v="1"/>
    <x v="0"/>
    <s v="Basic"/>
    <n v="1"/>
    <n v="1"/>
    <n v="0"/>
    <n v="0"/>
    <n v="0"/>
    <n v="0"/>
    <n v="0"/>
    <n v="0"/>
    <m/>
    <n v="80.3"/>
  </r>
  <r>
    <s v="USR-100786"/>
    <d v="2025-03-14T00:00:00"/>
    <x v="1"/>
    <x v="0"/>
    <x v="0"/>
    <x v="1"/>
    <s v="Free"/>
    <n v="1"/>
    <n v="0"/>
    <n v="0"/>
    <n v="0"/>
    <n v="0"/>
    <n v="0"/>
    <n v="0"/>
    <n v="0"/>
    <m/>
    <n v="55.7"/>
  </r>
  <r>
    <s v="USR-100787"/>
    <d v="2025-04-21T00:00:00"/>
    <x v="1"/>
    <x v="0"/>
    <x v="1"/>
    <x v="1"/>
    <s v="Free"/>
    <n v="1"/>
    <n v="1"/>
    <n v="0"/>
    <n v="0"/>
    <n v="0"/>
    <n v="0"/>
    <n v="0"/>
    <n v="0"/>
    <m/>
    <n v="84.9"/>
  </r>
  <r>
    <s v="USR-100788"/>
    <d v="2025-02-14T00:00:00"/>
    <x v="1"/>
    <x v="0"/>
    <x v="1"/>
    <x v="1"/>
    <s v="Free"/>
    <n v="1"/>
    <n v="0"/>
    <n v="0"/>
    <n v="0"/>
    <n v="0"/>
    <n v="0"/>
    <n v="0"/>
    <n v="0"/>
    <m/>
    <n v="63.3"/>
  </r>
  <r>
    <s v="USR-100789"/>
    <d v="2025-05-30T00:00:00"/>
    <x v="1"/>
    <x v="1"/>
    <x v="1"/>
    <x v="1"/>
    <s v="Free"/>
    <n v="0"/>
    <n v="0"/>
    <n v="0"/>
    <n v="0"/>
    <n v="0"/>
    <n v="0"/>
    <n v="0"/>
    <n v="0"/>
    <m/>
    <n v="53.1"/>
  </r>
  <r>
    <s v="USR-100790"/>
    <d v="2025-01-20T00:00:00"/>
    <x v="1"/>
    <x v="1"/>
    <x v="1"/>
    <x v="1"/>
    <s v="Free"/>
    <n v="0"/>
    <n v="0"/>
    <n v="0"/>
    <n v="0"/>
    <n v="0"/>
    <n v="0"/>
    <n v="0"/>
    <n v="0"/>
    <m/>
    <n v="66"/>
  </r>
  <r>
    <s v="USR-100791"/>
    <d v="2025-03-17T00:00:00"/>
    <x v="1"/>
    <x v="1"/>
    <x v="1"/>
    <x v="4"/>
    <s v="Premium"/>
    <n v="0"/>
    <n v="0"/>
    <n v="0"/>
    <n v="0"/>
    <n v="0"/>
    <n v="0"/>
    <n v="0"/>
    <n v="0"/>
    <m/>
    <n v="54.7"/>
  </r>
  <r>
    <s v="USR-100792"/>
    <d v="2025-03-04T00:00:00"/>
    <x v="1"/>
    <x v="1"/>
    <x v="1"/>
    <x v="4"/>
    <s v="Free"/>
    <n v="1"/>
    <n v="1"/>
    <n v="0"/>
    <n v="0"/>
    <n v="0"/>
    <n v="1"/>
    <n v="1"/>
    <n v="0"/>
    <m/>
    <n v="41.2"/>
  </r>
  <r>
    <s v="USR-100793"/>
    <d v="2025-02-22T00:00:00"/>
    <x v="1"/>
    <x v="3"/>
    <x v="1"/>
    <x v="1"/>
    <s v="Premium"/>
    <n v="0"/>
    <n v="0"/>
    <n v="0"/>
    <n v="0"/>
    <n v="0"/>
    <n v="0"/>
    <n v="0"/>
    <n v="0"/>
    <m/>
    <n v="66.7"/>
  </r>
  <r>
    <s v="USR-100794"/>
    <d v="2025-05-02T00:00:00"/>
    <x v="1"/>
    <x v="0"/>
    <x v="1"/>
    <x v="2"/>
    <s v="Premium"/>
    <n v="0"/>
    <n v="0"/>
    <n v="0"/>
    <n v="0"/>
    <n v="0"/>
    <n v="0"/>
    <n v="0"/>
    <n v="0"/>
    <m/>
    <n v="39.4"/>
  </r>
  <r>
    <s v="USR-100795"/>
    <d v="2025-03-13T00:00:00"/>
    <x v="1"/>
    <x v="1"/>
    <x v="0"/>
    <x v="1"/>
    <s v="Premium"/>
    <n v="0"/>
    <n v="0"/>
    <n v="0"/>
    <n v="0"/>
    <n v="0"/>
    <n v="3"/>
    <n v="1"/>
    <n v="0"/>
    <m/>
    <n v="67"/>
  </r>
  <r>
    <s v="USR-100796"/>
    <d v="2025-05-31T00:00:00"/>
    <x v="1"/>
    <x v="3"/>
    <x v="1"/>
    <x v="1"/>
    <s v="Basic"/>
    <n v="1"/>
    <n v="0"/>
    <n v="0"/>
    <n v="0"/>
    <n v="0"/>
    <n v="0"/>
    <n v="0"/>
    <n v="0"/>
    <m/>
    <n v="50.4"/>
  </r>
  <r>
    <s v="USR-100797"/>
    <d v="2025-03-07T00:00:00"/>
    <x v="1"/>
    <x v="1"/>
    <x v="0"/>
    <x v="4"/>
    <s v="Free"/>
    <n v="1"/>
    <n v="0"/>
    <n v="0"/>
    <n v="0"/>
    <n v="0"/>
    <n v="0"/>
    <n v="0"/>
    <n v="0"/>
    <m/>
    <n v="53.8"/>
  </r>
  <r>
    <s v="USR-100798"/>
    <d v="2025-02-22T00:00:00"/>
    <x v="1"/>
    <x v="1"/>
    <x v="1"/>
    <x v="2"/>
    <s v="Basic"/>
    <n v="0"/>
    <n v="0"/>
    <n v="0"/>
    <n v="0"/>
    <n v="0"/>
    <n v="1"/>
    <n v="1"/>
    <n v="0"/>
    <m/>
    <n v="82.7"/>
  </r>
  <r>
    <s v="USR-100799"/>
    <d v="2025-01-05T00:00:00"/>
    <x v="1"/>
    <x v="1"/>
    <x v="0"/>
    <x v="2"/>
    <s v="Free"/>
    <n v="1"/>
    <n v="1"/>
    <n v="1"/>
    <n v="0"/>
    <n v="0"/>
    <n v="0"/>
    <n v="0"/>
    <n v="0"/>
    <m/>
    <n v="63.9"/>
  </r>
  <r>
    <s v="USR-100800"/>
    <d v="2025-01-21T00:00:00"/>
    <x v="1"/>
    <x v="1"/>
    <x v="1"/>
    <x v="3"/>
    <s v="Free"/>
    <n v="1"/>
    <n v="0"/>
    <n v="0"/>
    <n v="0"/>
    <n v="0"/>
    <n v="0"/>
    <n v="0"/>
    <n v="0"/>
    <m/>
    <n v="61.9"/>
  </r>
  <r>
    <s v="USR-100801"/>
    <d v="2025-01-25T00:00:00"/>
    <x v="1"/>
    <x v="0"/>
    <x v="0"/>
    <x v="4"/>
    <s v="Free"/>
    <n v="1"/>
    <n v="1"/>
    <n v="1"/>
    <n v="0"/>
    <n v="0"/>
    <n v="0"/>
    <n v="0"/>
    <n v="0"/>
    <m/>
    <n v="75"/>
  </r>
  <r>
    <s v="USR-100802"/>
    <d v="2025-04-04T00:00:00"/>
    <x v="1"/>
    <x v="1"/>
    <x v="1"/>
    <x v="2"/>
    <s v="Basic"/>
    <n v="1"/>
    <n v="1"/>
    <n v="1"/>
    <n v="0"/>
    <n v="0"/>
    <n v="0"/>
    <n v="0"/>
    <n v="0"/>
    <m/>
    <n v="43"/>
  </r>
  <r>
    <s v="USR-100803"/>
    <d v="2025-03-25T00:00:00"/>
    <x v="1"/>
    <x v="0"/>
    <x v="0"/>
    <x v="4"/>
    <s v="Premium"/>
    <n v="0"/>
    <n v="0"/>
    <n v="0"/>
    <n v="0"/>
    <n v="0"/>
    <n v="0"/>
    <n v="0"/>
    <n v="0"/>
    <m/>
    <n v="54.3"/>
  </r>
  <r>
    <s v="USR-100804"/>
    <d v="2025-03-19T00:00:00"/>
    <x v="1"/>
    <x v="1"/>
    <x v="1"/>
    <x v="4"/>
    <s v="Free"/>
    <n v="0"/>
    <n v="0"/>
    <n v="0"/>
    <n v="0"/>
    <n v="0"/>
    <n v="2"/>
    <n v="1"/>
    <n v="0"/>
    <m/>
    <n v="44.3"/>
  </r>
  <r>
    <s v="USR-100805"/>
    <d v="2025-04-24T00:00:00"/>
    <x v="1"/>
    <x v="1"/>
    <x v="0"/>
    <x v="1"/>
    <s v="Free"/>
    <n v="1"/>
    <n v="1"/>
    <n v="1"/>
    <n v="1"/>
    <n v="402.88"/>
    <n v="0"/>
    <n v="0"/>
    <n v="0"/>
    <n v="12"/>
    <n v="76"/>
  </r>
  <r>
    <s v="USR-100806"/>
    <d v="2025-04-04T00:00:00"/>
    <x v="1"/>
    <x v="3"/>
    <x v="2"/>
    <x v="1"/>
    <s v="Free"/>
    <n v="1"/>
    <n v="0"/>
    <n v="0"/>
    <n v="0"/>
    <n v="0"/>
    <n v="2"/>
    <n v="1"/>
    <n v="0"/>
    <m/>
    <n v="65.3"/>
  </r>
  <r>
    <s v="USR-100807"/>
    <d v="2025-03-28T00:00:00"/>
    <x v="1"/>
    <x v="3"/>
    <x v="0"/>
    <x v="2"/>
    <s v="Premium"/>
    <n v="1"/>
    <n v="0"/>
    <n v="0"/>
    <n v="0"/>
    <n v="0"/>
    <n v="0"/>
    <n v="0"/>
    <n v="0"/>
    <m/>
    <n v="71.2"/>
  </r>
  <r>
    <s v="USR-100808"/>
    <d v="2025-05-15T00:00:00"/>
    <x v="1"/>
    <x v="3"/>
    <x v="2"/>
    <x v="2"/>
    <s v="Free"/>
    <n v="1"/>
    <n v="0"/>
    <n v="0"/>
    <n v="0"/>
    <n v="0"/>
    <n v="0"/>
    <n v="0"/>
    <n v="0"/>
    <m/>
    <n v="77.900000000000006"/>
  </r>
  <r>
    <s v="USR-100809"/>
    <d v="2025-03-13T00:00:00"/>
    <x v="1"/>
    <x v="1"/>
    <x v="1"/>
    <x v="2"/>
    <s v="Free"/>
    <n v="0"/>
    <n v="0"/>
    <n v="0"/>
    <n v="0"/>
    <n v="0"/>
    <n v="0"/>
    <n v="0"/>
    <n v="0"/>
    <m/>
    <n v="48.6"/>
  </r>
  <r>
    <s v="USR-100810"/>
    <d v="2025-03-26T00:00:00"/>
    <x v="1"/>
    <x v="0"/>
    <x v="1"/>
    <x v="4"/>
    <s v="Premium"/>
    <n v="1"/>
    <n v="0"/>
    <n v="0"/>
    <n v="0"/>
    <n v="0"/>
    <n v="0"/>
    <n v="0"/>
    <n v="0"/>
    <m/>
    <n v="61.9"/>
  </r>
  <r>
    <s v="USR-100811"/>
    <d v="2025-01-09T00:00:00"/>
    <x v="1"/>
    <x v="0"/>
    <x v="1"/>
    <x v="4"/>
    <s v="Basic"/>
    <n v="0"/>
    <n v="0"/>
    <n v="0"/>
    <n v="0"/>
    <n v="0"/>
    <n v="1"/>
    <n v="1"/>
    <n v="0"/>
    <m/>
    <n v="58.7"/>
  </r>
  <r>
    <s v="USR-100812"/>
    <d v="2025-05-06T00:00:00"/>
    <x v="1"/>
    <x v="3"/>
    <x v="0"/>
    <x v="2"/>
    <s v="Free"/>
    <n v="1"/>
    <n v="0"/>
    <n v="0"/>
    <n v="0"/>
    <n v="0"/>
    <n v="0"/>
    <n v="0"/>
    <n v="0"/>
    <m/>
    <n v="69.599999999999994"/>
  </r>
  <r>
    <s v="USR-100813"/>
    <d v="2025-02-17T00:00:00"/>
    <x v="1"/>
    <x v="3"/>
    <x v="1"/>
    <x v="1"/>
    <s v="Free"/>
    <n v="1"/>
    <n v="0"/>
    <n v="0"/>
    <n v="0"/>
    <n v="0"/>
    <n v="0"/>
    <n v="0"/>
    <n v="0"/>
    <m/>
    <n v="51.5"/>
  </r>
  <r>
    <s v="USR-100814"/>
    <d v="2025-04-05T00:00:00"/>
    <x v="1"/>
    <x v="2"/>
    <x v="1"/>
    <x v="2"/>
    <s v="Free"/>
    <n v="1"/>
    <n v="1"/>
    <n v="1"/>
    <n v="1"/>
    <n v="277.69"/>
    <n v="3"/>
    <n v="1"/>
    <n v="0"/>
    <n v="8"/>
    <n v="46"/>
  </r>
  <r>
    <s v="USR-100815"/>
    <d v="2025-04-13T00:00:00"/>
    <x v="1"/>
    <x v="1"/>
    <x v="2"/>
    <x v="1"/>
    <s v="Free"/>
    <n v="1"/>
    <n v="0"/>
    <n v="0"/>
    <n v="0"/>
    <n v="0"/>
    <n v="0"/>
    <n v="0"/>
    <n v="0"/>
    <m/>
    <n v="81.7"/>
  </r>
  <r>
    <s v="USR-100816"/>
    <d v="2025-05-20T00:00:00"/>
    <x v="1"/>
    <x v="2"/>
    <x v="0"/>
    <x v="3"/>
    <s v="Free"/>
    <n v="1"/>
    <n v="0"/>
    <n v="0"/>
    <n v="0"/>
    <n v="0"/>
    <n v="0"/>
    <n v="0"/>
    <n v="0"/>
    <m/>
    <n v="48.3"/>
  </r>
  <r>
    <s v="USR-100817"/>
    <d v="2025-03-31T00:00:00"/>
    <x v="1"/>
    <x v="2"/>
    <x v="1"/>
    <x v="0"/>
    <s v="Free"/>
    <n v="1"/>
    <n v="1"/>
    <n v="0"/>
    <n v="0"/>
    <n v="0"/>
    <n v="0"/>
    <n v="0"/>
    <n v="0"/>
    <m/>
    <n v="85.6"/>
  </r>
  <r>
    <s v="USR-100818"/>
    <d v="2025-04-03T00:00:00"/>
    <x v="1"/>
    <x v="1"/>
    <x v="2"/>
    <x v="2"/>
    <s v="Basic"/>
    <n v="1"/>
    <n v="0"/>
    <n v="0"/>
    <n v="0"/>
    <n v="0"/>
    <n v="0"/>
    <n v="0"/>
    <n v="0"/>
    <m/>
    <n v="53.8"/>
  </r>
  <r>
    <s v="USR-100819"/>
    <d v="2025-02-04T00:00:00"/>
    <x v="1"/>
    <x v="3"/>
    <x v="1"/>
    <x v="1"/>
    <s v="Free"/>
    <n v="1"/>
    <n v="1"/>
    <n v="1"/>
    <n v="1"/>
    <n v="460.83"/>
    <n v="2"/>
    <n v="1"/>
    <n v="0"/>
    <n v="0"/>
    <n v="69.7"/>
  </r>
  <r>
    <s v="USR-100820"/>
    <d v="2025-05-19T00:00:00"/>
    <x v="1"/>
    <x v="2"/>
    <x v="1"/>
    <x v="1"/>
    <s v="Free"/>
    <n v="1"/>
    <n v="0"/>
    <n v="0"/>
    <n v="0"/>
    <n v="0"/>
    <n v="0"/>
    <n v="0"/>
    <n v="0"/>
    <m/>
    <n v="74.8"/>
  </r>
  <r>
    <s v="USR-100821"/>
    <d v="2025-03-08T00:00:00"/>
    <x v="1"/>
    <x v="2"/>
    <x v="0"/>
    <x v="2"/>
    <s v="Basic"/>
    <n v="0"/>
    <n v="0"/>
    <n v="0"/>
    <n v="0"/>
    <n v="0"/>
    <n v="0"/>
    <n v="0"/>
    <n v="0"/>
    <m/>
    <n v="87.9"/>
  </r>
  <r>
    <s v="USR-100822"/>
    <d v="2025-05-10T00:00:00"/>
    <x v="1"/>
    <x v="0"/>
    <x v="1"/>
    <x v="4"/>
    <s v="Basic"/>
    <n v="1"/>
    <n v="0"/>
    <n v="0"/>
    <n v="0"/>
    <n v="0"/>
    <n v="1"/>
    <n v="1"/>
    <n v="0"/>
    <m/>
    <n v="49.1"/>
  </r>
  <r>
    <s v="USR-100823"/>
    <d v="2025-01-02T00:00:00"/>
    <x v="1"/>
    <x v="2"/>
    <x v="0"/>
    <x v="4"/>
    <s v="Basic"/>
    <n v="1"/>
    <n v="0"/>
    <n v="0"/>
    <n v="0"/>
    <n v="0"/>
    <n v="2"/>
    <n v="1"/>
    <n v="0"/>
    <m/>
    <n v="73"/>
  </r>
  <r>
    <s v="USR-100824"/>
    <d v="2025-01-17T00:00:00"/>
    <x v="1"/>
    <x v="1"/>
    <x v="1"/>
    <x v="1"/>
    <s v="Basic"/>
    <n v="0"/>
    <n v="0"/>
    <n v="0"/>
    <n v="0"/>
    <n v="0"/>
    <n v="0"/>
    <n v="0"/>
    <n v="0"/>
    <m/>
    <n v="79.5"/>
  </r>
  <r>
    <s v="USR-100825"/>
    <d v="2025-05-21T00:00:00"/>
    <x v="1"/>
    <x v="1"/>
    <x v="1"/>
    <x v="3"/>
    <s v="Basic"/>
    <n v="1"/>
    <n v="1"/>
    <n v="1"/>
    <n v="1"/>
    <n v="782.23"/>
    <n v="1"/>
    <n v="1"/>
    <n v="0"/>
    <n v="6"/>
    <n v="93.2"/>
  </r>
  <r>
    <s v="USR-100826"/>
    <d v="2025-05-25T00:00:00"/>
    <x v="1"/>
    <x v="2"/>
    <x v="0"/>
    <x v="3"/>
    <s v="Free"/>
    <n v="1"/>
    <n v="0"/>
    <n v="0"/>
    <n v="0"/>
    <n v="0"/>
    <n v="3"/>
    <n v="1"/>
    <n v="0"/>
    <m/>
    <n v="77.5"/>
  </r>
  <r>
    <s v="USR-100827"/>
    <d v="2025-01-05T00:00:00"/>
    <x v="1"/>
    <x v="1"/>
    <x v="1"/>
    <x v="0"/>
    <s v="Basic"/>
    <n v="1"/>
    <n v="0"/>
    <n v="0"/>
    <n v="0"/>
    <n v="0"/>
    <n v="0"/>
    <n v="0"/>
    <n v="0"/>
    <m/>
    <n v="61"/>
  </r>
  <r>
    <s v="USR-100828"/>
    <d v="2025-02-24T00:00:00"/>
    <x v="1"/>
    <x v="3"/>
    <x v="0"/>
    <x v="1"/>
    <s v="Free"/>
    <n v="1"/>
    <n v="1"/>
    <n v="0"/>
    <n v="0"/>
    <n v="0"/>
    <n v="0"/>
    <n v="0"/>
    <n v="0"/>
    <m/>
    <n v="64.900000000000006"/>
  </r>
  <r>
    <s v="USR-100829"/>
    <d v="2025-01-21T00:00:00"/>
    <x v="1"/>
    <x v="2"/>
    <x v="1"/>
    <x v="2"/>
    <s v="Basic"/>
    <n v="1"/>
    <n v="0"/>
    <n v="0"/>
    <n v="0"/>
    <n v="0"/>
    <n v="0"/>
    <n v="0"/>
    <n v="0"/>
    <m/>
    <n v="87.5"/>
  </r>
  <r>
    <s v="USR-100830"/>
    <d v="2025-04-24T00:00:00"/>
    <x v="1"/>
    <x v="0"/>
    <x v="1"/>
    <x v="1"/>
    <s v="Basic"/>
    <n v="1"/>
    <n v="1"/>
    <n v="1"/>
    <n v="1"/>
    <n v="1171.99"/>
    <n v="0"/>
    <n v="0"/>
    <n v="0"/>
    <n v="5"/>
    <n v="80.599999999999994"/>
  </r>
  <r>
    <s v="USR-100831"/>
    <d v="2025-01-07T00:00:00"/>
    <x v="1"/>
    <x v="1"/>
    <x v="0"/>
    <x v="1"/>
    <s v="Free"/>
    <n v="1"/>
    <n v="0"/>
    <n v="0"/>
    <n v="0"/>
    <n v="0"/>
    <n v="0"/>
    <n v="0"/>
    <n v="0"/>
    <m/>
    <n v="66.900000000000006"/>
  </r>
  <r>
    <s v="USR-100832"/>
    <d v="2025-05-31T00:00:00"/>
    <x v="1"/>
    <x v="3"/>
    <x v="2"/>
    <x v="1"/>
    <s v="Basic"/>
    <n v="1"/>
    <n v="1"/>
    <n v="1"/>
    <n v="0"/>
    <n v="0"/>
    <n v="0"/>
    <n v="0"/>
    <n v="0"/>
    <m/>
    <n v="58.8"/>
  </r>
  <r>
    <s v="USR-100833"/>
    <d v="2025-04-02T00:00:00"/>
    <x v="1"/>
    <x v="0"/>
    <x v="0"/>
    <x v="1"/>
    <s v="Basic"/>
    <n v="1"/>
    <n v="1"/>
    <n v="1"/>
    <n v="1"/>
    <n v="1010.4"/>
    <n v="0"/>
    <n v="0"/>
    <n v="0"/>
    <n v="4"/>
    <n v="42.9"/>
  </r>
  <r>
    <s v="USR-100834"/>
    <d v="2025-04-21T00:00:00"/>
    <x v="1"/>
    <x v="2"/>
    <x v="1"/>
    <x v="1"/>
    <s v="Free"/>
    <n v="1"/>
    <n v="1"/>
    <n v="1"/>
    <n v="0"/>
    <n v="0"/>
    <n v="1"/>
    <n v="1"/>
    <n v="0"/>
    <m/>
    <n v="60.2"/>
  </r>
  <r>
    <s v="USR-100835"/>
    <d v="2025-05-05T00:00:00"/>
    <x v="1"/>
    <x v="2"/>
    <x v="1"/>
    <x v="2"/>
    <s v="Basic"/>
    <n v="1"/>
    <n v="0"/>
    <n v="0"/>
    <n v="0"/>
    <n v="0"/>
    <n v="0"/>
    <n v="0"/>
    <n v="0"/>
    <m/>
    <n v="42.7"/>
  </r>
  <r>
    <s v="USR-100836"/>
    <d v="2025-01-06T00:00:00"/>
    <x v="1"/>
    <x v="0"/>
    <x v="0"/>
    <x v="4"/>
    <s v="Free"/>
    <n v="1"/>
    <n v="1"/>
    <n v="1"/>
    <n v="1"/>
    <n v="431.27"/>
    <n v="0"/>
    <n v="0"/>
    <n v="0"/>
    <n v="7"/>
    <n v="60.8"/>
  </r>
  <r>
    <s v="USR-100837"/>
    <d v="2025-04-24T00:00:00"/>
    <x v="1"/>
    <x v="3"/>
    <x v="1"/>
    <x v="3"/>
    <s v="Free"/>
    <n v="1"/>
    <n v="1"/>
    <n v="1"/>
    <n v="1"/>
    <n v="428.8"/>
    <n v="0"/>
    <n v="0"/>
    <n v="0"/>
    <n v="9"/>
    <n v="79.3"/>
  </r>
  <r>
    <s v="USR-100838"/>
    <d v="2025-04-21T00:00:00"/>
    <x v="1"/>
    <x v="3"/>
    <x v="1"/>
    <x v="1"/>
    <s v="Basic"/>
    <n v="1"/>
    <n v="0"/>
    <n v="0"/>
    <n v="0"/>
    <n v="0"/>
    <n v="1"/>
    <n v="1"/>
    <n v="0"/>
    <m/>
    <n v="88.6"/>
  </r>
  <r>
    <s v="USR-100839"/>
    <d v="2025-02-09T00:00:00"/>
    <x v="1"/>
    <x v="1"/>
    <x v="1"/>
    <x v="1"/>
    <s v="Basic"/>
    <n v="1"/>
    <n v="1"/>
    <n v="1"/>
    <n v="0"/>
    <n v="0"/>
    <n v="0"/>
    <n v="0"/>
    <n v="0"/>
    <m/>
    <n v="63.1"/>
  </r>
  <r>
    <s v="USR-100840"/>
    <d v="2025-01-09T00:00:00"/>
    <x v="1"/>
    <x v="2"/>
    <x v="1"/>
    <x v="1"/>
    <s v="Premium"/>
    <n v="1"/>
    <n v="0"/>
    <n v="0"/>
    <n v="0"/>
    <n v="0"/>
    <n v="0"/>
    <n v="0"/>
    <n v="0"/>
    <m/>
    <n v="39.700000000000003"/>
  </r>
  <r>
    <s v="USR-100841"/>
    <d v="2025-02-16T00:00:00"/>
    <x v="1"/>
    <x v="0"/>
    <x v="1"/>
    <x v="2"/>
    <s v="Basic"/>
    <n v="0"/>
    <n v="0"/>
    <n v="0"/>
    <n v="0"/>
    <n v="0"/>
    <n v="0"/>
    <n v="0"/>
    <n v="0"/>
    <m/>
    <n v="67.2"/>
  </r>
  <r>
    <s v="USR-100842"/>
    <d v="2025-02-21T00:00:00"/>
    <x v="1"/>
    <x v="3"/>
    <x v="1"/>
    <x v="1"/>
    <s v="Free"/>
    <n v="1"/>
    <n v="1"/>
    <n v="1"/>
    <n v="0"/>
    <n v="0"/>
    <n v="0"/>
    <n v="0"/>
    <n v="0"/>
    <m/>
    <n v="62.3"/>
  </r>
  <r>
    <s v="USR-100843"/>
    <d v="2025-02-08T00:00:00"/>
    <x v="1"/>
    <x v="3"/>
    <x v="1"/>
    <x v="1"/>
    <s v="Premium"/>
    <n v="1"/>
    <n v="0"/>
    <n v="0"/>
    <n v="0"/>
    <n v="0"/>
    <n v="0"/>
    <n v="0"/>
    <n v="0"/>
    <m/>
    <m/>
  </r>
  <r>
    <s v="USR-100844"/>
    <d v="2025-01-22T00:00:00"/>
    <x v="1"/>
    <x v="3"/>
    <x v="1"/>
    <x v="2"/>
    <s v="Premium"/>
    <n v="0"/>
    <n v="0"/>
    <n v="0"/>
    <n v="0"/>
    <n v="0"/>
    <n v="0"/>
    <n v="0"/>
    <n v="0"/>
    <m/>
    <n v="60.7"/>
  </r>
  <r>
    <s v="USR-100845"/>
    <d v="2025-04-01T00:00:00"/>
    <x v="1"/>
    <x v="1"/>
    <x v="1"/>
    <x v="1"/>
    <s v="Basic"/>
    <n v="1"/>
    <n v="0"/>
    <n v="0"/>
    <n v="0"/>
    <n v="0"/>
    <n v="0"/>
    <n v="0"/>
    <n v="0"/>
    <m/>
    <n v="61.5"/>
  </r>
  <r>
    <s v="USR-100846"/>
    <d v="2025-01-21T00:00:00"/>
    <x v="1"/>
    <x v="0"/>
    <x v="1"/>
    <x v="2"/>
    <s v="Basic"/>
    <n v="1"/>
    <n v="0"/>
    <n v="0"/>
    <n v="0"/>
    <n v="0"/>
    <n v="0"/>
    <n v="0"/>
    <n v="0"/>
    <m/>
    <n v="75"/>
  </r>
  <r>
    <s v="USR-100847"/>
    <d v="2025-01-02T00:00:00"/>
    <x v="1"/>
    <x v="2"/>
    <x v="0"/>
    <x v="1"/>
    <s v="Free"/>
    <n v="1"/>
    <n v="1"/>
    <n v="0"/>
    <n v="0"/>
    <n v="0"/>
    <n v="0"/>
    <n v="0"/>
    <n v="0"/>
    <m/>
    <n v="51.9"/>
  </r>
  <r>
    <s v="USR-100848"/>
    <d v="2025-05-12T00:00:00"/>
    <x v="1"/>
    <x v="3"/>
    <x v="0"/>
    <x v="2"/>
    <s v="Free"/>
    <n v="0"/>
    <n v="0"/>
    <n v="0"/>
    <n v="0"/>
    <n v="0"/>
    <n v="0"/>
    <n v="0"/>
    <n v="0"/>
    <m/>
    <n v="34.5"/>
  </r>
  <r>
    <s v="USR-100849"/>
    <d v="2025-03-05T00:00:00"/>
    <x v="1"/>
    <x v="3"/>
    <x v="1"/>
    <x v="4"/>
    <s v="Basic"/>
    <n v="0"/>
    <n v="0"/>
    <n v="0"/>
    <n v="0"/>
    <n v="0"/>
    <n v="0"/>
    <n v="0"/>
    <n v="0"/>
    <m/>
    <n v="54.5"/>
  </r>
  <r>
    <s v="USR-100850"/>
    <d v="2025-01-24T00:00:00"/>
    <x v="1"/>
    <x v="2"/>
    <x v="1"/>
    <x v="1"/>
    <s v="Free"/>
    <n v="0"/>
    <n v="0"/>
    <n v="0"/>
    <n v="0"/>
    <n v="0"/>
    <n v="0"/>
    <n v="0"/>
    <n v="0"/>
    <m/>
    <n v="46"/>
  </r>
  <r>
    <s v="USR-100851"/>
    <d v="2025-01-31T00:00:00"/>
    <x v="1"/>
    <x v="2"/>
    <x v="0"/>
    <x v="0"/>
    <s v="Free"/>
    <n v="1"/>
    <n v="1"/>
    <n v="1"/>
    <n v="0"/>
    <n v="0"/>
    <n v="0"/>
    <n v="0"/>
    <n v="0"/>
    <m/>
    <n v="88.4"/>
  </r>
  <r>
    <s v="USR-100852"/>
    <d v="2025-01-24T00:00:00"/>
    <x v="1"/>
    <x v="0"/>
    <x v="2"/>
    <x v="1"/>
    <s v="Basic"/>
    <n v="1"/>
    <n v="0"/>
    <n v="0"/>
    <n v="0"/>
    <n v="0"/>
    <n v="0"/>
    <n v="0"/>
    <n v="0"/>
    <m/>
    <n v="69.5"/>
  </r>
  <r>
    <s v="USR-100853"/>
    <d v="2025-02-14T00:00:00"/>
    <x v="1"/>
    <x v="0"/>
    <x v="0"/>
    <x v="3"/>
    <s v="Basic"/>
    <n v="1"/>
    <n v="1"/>
    <n v="1"/>
    <n v="0"/>
    <n v="0"/>
    <n v="0"/>
    <n v="0"/>
    <n v="0"/>
    <m/>
    <n v="74.2"/>
  </r>
  <r>
    <s v="USR-100854"/>
    <d v="2025-05-27T00:00:00"/>
    <x v="1"/>
    <x v="0"/>
    <x v="1"/>
    <x v="1"/>
    <s v="Free"/>
    <n v="1"/>
    <n v="1"/>
    <n v="1"/>
    <n v="0"/>
    <n v="0"/>
    <n v="0"/>
    <n v="0"/>
    <n v="0"/>
    <m/>
    <n v="72.099999999999994"/>
  </r>
  <r>
    <s v="USR-100855"/>
    <d v="2025-02-28T00:00:00"/>
    <x v="1"/>
    <x v="0"/>
    <x v="1"/>
    <x v="2"/>
    <s v="Free"/>
    <n v="1"/>
    <n v="1"/>
    <n v="1"/>
    <n v="1"/>
    <n v="398.33"/>
    <n v="0"/>
    <n v="0"/>
    <n v="0"/>
    <n v="5"/>
    <n v="85.1"/>
  </r>
  <r>
    <s v="USR-100856"/>
    <d v="2025-05-27T00:00:00"/>
    <x v="1"/>
    <x v="0"/>
    <x v="1"/>
    <x v="1"/>
    <s v="Basic"/>
    <n v="1"/>
    <n v="1"/>
    <n v="1"/>
    <n v="0"/>
    <n v="0"/>
    <n v="0"/>
    <n v="0"/>
    <n v="0"/>
    <m/>
    <n v="49.5"/>
  </r>
  <r>
    <s v="USR-100857"/>
    <d v="2025-05-17T00:00:00"/>
    <x v="1"/>
    <x v="3"/>
    <x v="1"/>
    <x v="2"/>
    <s v="Premium"/>
    <n v="0"/>
    <n v="0"/>
    <n v="0"/>
    <n v="0"/>
    <n v="0"/>
    <n v="1"/>
    <n v="1"/>
    <n v="0"/>
    <m/>
    <n v="79"/>
  </r>
  <r>
    <s v="USR-100858"/>
    <d v="2025-01-10T00:00:00"/>
    <x v="1"/>
    <x v="1"/>
    <x v="0"/>
    <x v="4"/>
    <s v="Free"/>
    <n v="0"/>
    <n v="0"/>
    <n v="0"/>
    <n v="0"/>
    <n v="0"/>
    <n v="0"/>
    <n v="0"/>
    <n v="0"/>
    <m/>
    <n v="71.8"/>
  </r>
  <r>
    <s v="USR-100859"/>
    <d v="2025-04-22T00:00:00"/>
    <x v="1"/>
    <x v="0"/>
    <x v="1"/>
    <x v="0"/>
    <s v="Basic"/>
    <n v="1"/>
    <n v="1"/>
    <n v="1"/>
    <n v="1"/>
    <n v="1117.54"/>
    <n v="0"/>
    <n v="0"/>
    <n v="0"/>
    <n v="6"/>
    <n v="60.4"/>
  </r>
  <r>
    <s v="USR-100860"/>
    <d v="2025-03-02T00:00:00"/>
    <x v="1"/>
    <x v="3"/>
    <x v="0"/>
    <x v="1"/>
    <s v="Basic"/>
    <n v="1"/>
    <n v="0"/>
    <n v="0"/>
    <n v="0"/>
    <n v="0"/>
    <n v="2"/>
    <n v="1"/>
    <n v="0"/>
    <m/>
    <n v="38.299999999999997"/>
  </r>
  <r>
    <s v="USR-100861"/>
    <d v="2025-03-23T00:00:00"/>
    <x v="1"/>
    <x v="2"/>
    <x v="1"/>
    <x v="2"/>
    <s v="Free"/>
    <n v="1"/>
    <n v="1"/>
    <n v="1"/>
    <n v="0"/>
    <n v="0"/>
    <n v="0"/>
    <n v="0"/>
    <n v="0"/>
    <m/>
    <n v="79.599999999999994"/>
  </r>
  <r>
    <s v="USR-100862"/>
    <d v="2025-02-12T00:00:00"/>
    <x v="1"/>
    <x v="2"/>
    <x v="1"/>
    <x v="0"/>
    <s v="Free"/>
    <n v="1"/>
    <n v="1"/>
    <n v="1"/>
    <n v="0"/>
    <n v="0"/>
    <n v="0"/>
    <n v="0"/>
    <n v="0"/>
    <m/>
    <n v="71.900000000000006"/>
  </r>
  <r>
    <s v="USR-100863"/>
    <d v="2025-05-03T00:00:00"/>
    <x v="1"/>
    <x v="3"/>
    <x v="1"/>
    <x v="3"/>
    <s v="Basic"/>
    <n v="1"/>
    <n v="0"/>
    <n v="0"/>
    <n v="0"/>
    <n v="0"/>
    <n v="0"/>
    <n v="0"/>
    <n v="0"/>
    <m/>
    <n v="54.6"/>
  </r>
  <r>
    <s v="USR-100864"/>
    <d v="2025-03-28T00:00:00"/>
    <x v="1"/>
    <x v="0"/>
    <x v="0"/>
    <x v="4"/>
    <s v="Free"/>
    <n v="1"/>
    <n v="0"/>
    <n v="0"/>
    <n v="0"/>
    <n v="0"/>
    <n v="3"/>
    <n v="1"/>
    <n v="0"/>
    <m/>
    <n v="49.3"/>
  </r>
  <r>
    <s v="USR-100865"/>
    <d v="2025-03-12T00:00:00"/>
    <x v="1"/>
    <x v="0"/>
    <x v="1"/>
    <x v="4"/>
    <s v="Basic"/>
    <n v="0"/>
    <n v="0"/>
    <n v="0"/>
    <n v="0"/>
    <n v="0"/>
    <n v="1"/>
    <n v="1"/>
    <n v="0"/>
    <m/>
    <n v="66.900000000000006"/>
  </r>
  <r>
    <s v="USR-100866"/>
    <d v="2025-04-27T00:00:00"/>
    <x v="1"/>
    <x v="2"/>
    <x v="1"/>
    <x v="2"/>
    <s v="Free"/>
    <n v="1"/>
    <n v="0"/>
    <n v="0"/>
    <n v="0"/>
    <n v="0"/>
    <n v="1"/>
    <n v="1"/>
    <n v="0"/>
    <m/>
    <n v="77.8"/>
  </r>
  <r>
    <s v="USR-100867"/>
    <d v="2025-04-02T00:00:00"/>
    <x v="1"/>
    <x v="3"/>
    <x v="1"/>
    <x v="3"/>
    <s v="Basic"/>
    <n v="1"/>
    <n v="0"/>
    <n v="0"/>
    <n v="0"/>
    <n v="0"/>
    <n v="0"/>
    <n v="0"/>
    <n v="0"/>
    <m/>
    <n v="63"/>
  </r>
  <r>
    <s v="USR-100868"/>
    <d v="2025-04-21T00:00:00"/>
    <x v="1"/>
    <x v="0"/>
    <x v="1"/>
    <x v="4"/>
    <s v="Free"/>
    <n v="0"/>
    <n v="0"/>
    <n v="0"/>
    <n v="0"/>
    <n v="0"/>
    <n v="0"/>
    <n v="0"/>
    <n v="0"/>
    <m/>
    <n v="79.8"/>
  </r>
  <r>
    <s v="USR-100869"/>
    <d v="2025-01-26T00:00:00"/>
    <x v="1"/>
    <x v="1"/>
    <x v="0"/>
    <x v="1"/>
    <s v="Basic"/>
    <n v="0"/>
    <n v="0"/>
    <n v="0"/>
    <n v="0"/>
    <n v="0"/>
    <n v="0"/>
    <n v="0"/>
    <n v="0"/>
    <m/>
    <n v="69.900000000000006"/>
  </r>
  <r>
    <s v="USR-100870"/>
    <d v="2025-01-06T00:00:00"/>
    <x v="1"/>
    <x v="1"/>
    <x v="1"/>
    <x v="1"/>
    <s v="Free"/>
    <n v="0"/>
    <n v="0"/>
    <n v="0"/>
    <n v="0"/>
    <n v="0"/>
    <n v="1"/>
    <n v="1"/>
    <n v="0"/>
    <m/>
    <n v="66.400000000000006"/>
  </r>
  <r>
    <s v="USR-100871"/>
    <d v="2025-02-07T00:00:00"/>
    <x v="1"/>
    <x v="2"/>
    <x v="1"/>
    <x v="1"/>
    <s v="Free"/>
    <n v="1"/>
    <n v="0"/>
    <n v="0"/>
    <n v="0"/>
    <n v="0"/>
    <n v="0"/>
    <n v="0"/>
    <n v="0"/>
    <m/>
    <n v="27.6"/>
  </r>
  <r>
    <s v="USR-100872"/>
    <d v="2025-05-07T00:00:00"/>
    <x v="1"/>
    <x v="1"/>
    <x v="1"/>
    <x v="1"/>
    <s v="Premium"/>
    <n v="1"/>
    <n v="0"/>
    <n v="0"/>
    <n v="0"/>
    <n v="0"/>
    <n v="1"/>
    <n v="1"/>
    <n v="0"/>
    <m/>
    <n v="56.5"/>
  </r>
  <r>
    <s v="USR-100873"/>
    <d v="2025-04-22T00:00:00"/>
    <x v="1"/>
    <x v="1"/>
    <x v="3"/>
    <x v="4"/>
    <s v="Free"/>
    <n v="1"/>
    <n v="0"/>
    <n v="0"/>
    <n v="0"/>
    <n v="0"/>
    <n v="0"/>
    <n v="0"/>
    <n v="0"/>
    <m/>
    <n v="67.8"/>
  </r>
  <r>
    <s v="USR-100874"/>
    <d v="2025-05-04T00:00:00"/>
    <x v="1"/>
    <x v="1"/>
    <x v="0"/>
    <x v="4"/>
    <s v="Free"/>
    <n v="1"/>
    <n v="0"/>
    <n v="0"/>
    <n v="0"/>
    <n v="0"/>
    <n v="0"/>
    <n v="0"/>
    <n v="0"/>
    <m/>
    <n v="80"/>
  </r>
  <r>
    <s v="USR-100875"/>
    <d v="2025-05-16T00:00:00"/>
    <x v="1"/>
    <x v="3"/>
    <x v="1"/>
    <x v="4"/>
    <s v="Basic"/>
    <n v="1"/>
    <n v="1"/>
    <n v="1"/>
    <n v="0"/>
    <n v="0"/>
    <n v="1"/>
    <n v="1"/>
    <n v="0"/>
    <m/>
    <n v="80.900000000000006"/>
  </r>
  <r>
    <s v="USR-100876"/>
    <d v="2025-02-11T00:00:00"/>
    <x v="1"/>
    <x v="1"/>
    <x v="1"/>
    <x v="2"/>
    <s v="Free"/>
    <n v="0"/>
    <n v="0"/>
    <n v="0"/>
    <n v="0"/>
    <n v="0"/>
    <n v="0"/>
    <n v="0"/>
    <n v="0"/>
    <m/>
    <n v="34.5"/>
  </r>
  <r>
    <s v="USR-100877"/>
    <d v="2025-05-09T00:00:00"/>
    <x v="1"/>
    <x v="2"/>
    <x v="0"/>
    <x v="1"/>
    <s v="Premium"/>
    <n v="1"/>
    <n v="0"/>
    <n v="0"/>
    <n v="0"/>
    <n v="0"/>
    <n v="0"/>
    <n v="0"/>
    <n v="0"/>
    <m/>
    <n v="73.5"/>
  </r>
  <r>
    <s v="USR-100878"/>
    <d v="2025-02-09T00:00:00"/>
    <x v="1"/>
    <x v="3"/>
    <x v="0"/>
    <x v="2"/>
    <s v="Free"/>
    <n v="1"/>
    <n v="1"/>
    <n v="0"/>
    <n v="0"/>
    <n v="0"/>
    <n v="0"/>
    <n v="0"/>
    <n v="0"/>
    <m/>
    <n v="70"/>
  </r>
  <r>
    <s v="USR-100879"/>
    <d v="2025-05-22T00:00:00"/>
    <x v="1"/>
    <x v="1"/>
    <x v="1"/>
    <x v="4"/>
    <s v="Basic"/>
    <n v="0"/>
    <n v="0"/>
    <n v="0"/>
    <n v="0"/>
    <n v="0"/>
    <n v="0"/>
    <n v="0"/>
    <n v="0"/>
    <m/>
    <n v="86.9"/>
  </r>
  <r>
    <s v="USR-100880"/>
    <d v="2025-05-24T00:00:00"/>
    <x v="1"/>
    <x v="2"/>
    <x v="1"/>
    <x v="4"/>
    <s v="Basic"/>
    <n v="0"/>
    <n v="0"/>
    <n v="0"/>
    <n v="0"/>
    <n v="0"/>
    <n v="0"/>
    <n v="0"/>
    <n v="0"/>
    <m/>
    <n v="66.900000000000006"/>
  </r>
  <r>
    <s v="USR-100881"/>
    <d v="2025-04-27T00:00:00"/>
    <x v="1"/>
    <x v="3"/>
    <x v="0"/>
    <x v="4"/>
    <s v="Basic"/>
    <n v="1"/>
    <n v="1"/>
    <n v="1"/>
    <n v="0"/>
    <n v="0"/>
    <n v="0"/>
    <n v="0"/>
    <n v="0"/>
    <m/>
    <n v="58.3"/>
  </r>
  <r>
    <s v="USR-100882"/>
    <d v="2025-03-19T00:00:00"/>
    <x v="1"/>
    <x v="2"/>
    <x v="1"/>
    <x v="2"/>
    <s v="Free"/>
    <n v="1"/>
    <n v="0"/>
    <n v="0"/>
    <n v="0"/>
    <n v="0"/>
    <n v="0"/>
    <n v="0"/>
    <n v="0"/>
    <m/>
    <n v="45"/>
  </r>
  <r>
    <s v="USR-100883"/>
    <d v="2025-05-20T00:00:00"/>
    <x v="1"/>
    <x v="3"/>
    <x v="1"/>
    <x v="1"/>
    <s v="Premium"/>
    <n v="0"/>
    <n v="0"/>
    <n v="0"/>
    <n v="0"/>
    <n v="0"/>
    <n v="0"/>
    <n v="0"/>
    <n v="0"/>
    <m/>
    <n v="60.8"/>
  </r>
  <r>
    <s v="USR-100884"/>
    <d v="2025-05-10T00:00:00"/>
    <x v="1"/>
    <x v="0"/>
    <x v="1"/>
    <x v="0"/>
    <s v="Premium"/>
    <n v="1"/>
    <n v="0"/>
    <n v="0"/>
    <n v="0"/>
    <n v="0"/>
    <n v="4"/>
    <n v="1"/>
    <n v="0"/>
    <m/>
    <n v="53.7"/>
  </r>
  <r>
    <s v="USR-100885"/>
    <d v="2025-03-29T00:00:00"/>
    <x v="1"/>
    <x v="2"/>
    <x v="1"/>
    <x v="4"/>
    <s v="Free"/>
    <n v="1"/>
    <n v="1"/>
    <n v="1"/>
    <n v="0"/>
    <n v="0"/>
    <n v="0"/>
    <n v="0"/>
    <n v="0"/>
    <m/>
    <n v="48.8"/>
  </r>
  <r>
    <s v="USR-100886"/>
    <d v="2025-04-03T00:00:00"/>
    <x v="1"/>
    <x v="1"/>
    <x v="0"/>
    <x v="3"/>
    <s v="Basic"/>
    <n v="0"/>
    <n v="0"/>
    <n v="0"/>
    <n v="0"/>
    <n v="0"/>
    <n v="0"/>
    <n v="0"/>
    <n v="0"/>
    <m/>
    <n v="52.9"/>
  </r>
  <r>
    <s v="USR-100887"/>
    <d v="2025-05-30T00:00:00"/>
    <x v="1"/>
    <x v="3"/>
    <x v="1"/>
    <x v="0"/>
    <s v="Free"/>
    <n v="1"/>
    <n v="0"/>
    <n v="0"/>
    <n v="0"/>
    <n v="0"/>
    <n v="0"/>
    <n v="0"/>
    <n v="0"/>
    <m/>
    <n v="42.4"/>
  </r>
  <r>
    <s v="USR-100888"/>
    <d v="2025-04-06T00:00:00"/>
    <x v="1"/>
    <x v="2"/>
    <x v="0"/>
    <x v="0"/>
    <s v="Free"/>
    <n v="1"/>
    <n v="0"/>
    <n v="0"/>
    <n v="0"/>
    <n v="0"/>
    <n v="0"/>
    <n v="0"/>
    <n v="0"/>
    <m/>
    <n v="58.7"/>
  </r>
  <r>
    <s v="USR-100889"/>
    <d v="2025-03-14T00:00:00"/>
    <x v="1"/>
    <x v="0"/>
    <x v="1"/>
    <x v="3"/>
    <s v="Free"/>
    <n v="1"/>
    <n v="1"/>
    <n v="1"/>
    <n v="1"/>
    <n v="2064.5500000000002"/>
    <n v="0"/>
    <n v="0"/>
    <n v="0"/>
    <n v="1"/>
    <n v="67.8"/>
  </r>
  <r>
    <s v="USR-100890"/>
    <d v="2025-02-24T00:00:00"/>
    <x v="1"/>
    <x v="3"/>
    <x v="0"/>
    <x v="2"/>
    <s v="Basic"/>
    <n v="1"/>
    <n v="0"/>
    <n v="0"/>
    <n v="0"/>
    <n v="0"/>
    <n v="0"/>
    <n v="0"/>
    <n v="0"/>
    <m/>
    <n v="62.6"/>
  </r>
  <r>
    <s v="USR-100891"/>
    <d v="2025-03-04T00:00:00"/>
    <x v="1"/>
    <x v="1"/>
    <x v="1"/>
    <x v="0"/>
    <s v="Basic"/>
    <n v="1"/>
    <n v="0"/>
    <n v="0"/>
    <n v="0"/>
    <n v="0"/>
    <n v="0"/>
    <n v="0"/>
    <n v="0"/>
    <m/>
    <n v="82.4"/>
  </r>
  <r>
    <s v="USR-100892"/>
    <d v="2025-04-02T00:00:00"/>
    <x v="1"/>
    <x v="0"/>
    <x v="1"/>
    <x v="1"/>
    <s v="Free"/>
    <n v="1"/>
    <n v="1"/>
    <n v="1"/>
    <n v="0"/>
    <n v="0"/>
    <n v="0"/>
    <n v="0"/>
    <n v="0"/>
    <m/>
    <n v="50.4"/>
  </r>
  <r>
    <s v="USR-100893"/>
    <d v="2025-05-11T00:00:00"/>
    <x v="1"/>
    <x v="0"/>
    <x v="1"/>
    <x v="0"/>
    <s v="Premium"/>
    <n v="0"/>
    <n v="0"/>
    <n v="0"/>
    <n v="0"/>
    <n v="0"/>
    <n v="0"/>
    <n v="0"/>
    <n v="0"/>
    <m/>
    <n v="68.400000000000006"/>
  </r>
  <r>
    <s v="USR-100894"/>
    <d v="2025-05-10T00:00:00"/>
    <x v="1"/>
    <x v="1"/>
    <x v="2"/>
    <x v="2"/>
    <s v="Basic"/>
    <n v="1"/>
    <n v="1"/>
    <n v="1"/>
    <n v="0"/>
    <n v="0"/>
    <n v="0"/>
    <n v="0"/>
    <n v="0"/>
    <m/>
    <n v="58.8"/>
  </r>
  <r>
    <s v="USR-100895"/>
    <d v="2025-05-06T00:00:00"/>
    <x v="1"/>
    <x v="1"/>
    <x v="1"/>
    <x v="3"/>
    <s v="Free"/>
    <n v="1"/>
    <n v="1"/>
    <n v="0"/>
    <n v="0"/>
    <n v="0"/>
    <n v="2"/>
    <n v="1"/>
    <n v="0"/>
    <m/>
    <n v="28.3"/>
  </r>
  <r>
    <s v="USR-100896"/>
    <d v="2025-02-11T00:00:00"/>
    <x v="1"/>
    <x v="1"/>
    <x v="0"/>
    <x v="2"/>
    <s v="Free"/>
    <n v="1"/>
    <n v="1"/>
    <n v="0"/>
    <n v="0"/>
    <n v="0"/>
    <n v="0"/>
    <n v="0"/>
    <n v="0"/>
    <m/>
    <n v="44.1"/>
  </r>
  <r>
    <s v="USR-100897"/>
    <d v="2025-05-09T00:00:00"/>
    <x v="1"/>
    <x v="3"/>
    <x v="1"/>
    <x v="2"/>
    <s v="Premium"/>
    <n v="1"/>
    <n v="1"/>
    <n v="0"/>
    <n v="0"/>
    <n v="0"/>
    <n v="0"/>
    <n v="0"/>
    <n v="0"/>
    <m/>
    <n v="66.7"/>
  </r>
  <r>
    <s v="USR-100898"/>
    <d v="2025-02-02T00:00:00"/>
    <x v="1"/>
    <x v="3"/>
    <x v="1"/>
    <x v="5"/>
    <s v="Free"/>
    <n v="1"/>
    <n v="0"/>
    <n v="0"/>
    <n v="0"/>
    <n v="0"/>
    <n v="0"/>
    <n v="0"/>
    <n v="0"/>
    <m/>
    <n v="100"/>
  </r>
  <r>
    <s v="USR-100899"/>
    <d v="2025-04-03T00:00:00"/>
    <x v="1"/>
    <x v="3"/>
    <x v="1"/>
    <x v="4"/>
    <s v="Free"/>
    <n v="1"/>
    <n v="1"/>
    <n v="0"/>
    <n v="0"/>
    <n v="0"/>
    <n v="0"/>
    <n v="0"/>
    <n v="0"/>
    <m/>
    <n v="87.5"/>
  </r>
  <r>
    <s v="USR-100900"/>
    <d v="2025-02-15T00:00:00"/>
    <x v="1"/>
    <x v="0"/>
    <x v="0"/>
    <x v="1"/>
    <s v="Basic"/>
    <n v="1"/>
    <n v="0"/>
    <n v="0"/>
    <n v="0"/>
    <n v="0"/>
    <n v="2"/>
    <n v="1"/>
    <n v="0"/>
    <m/>
    <n v="65.400000000000006"/>
  </r>
  <r>
    <s v="USR-100901"/>
    <d v="2025-04-18T00:00:00"/>
    <x v="1"/>
    <x v="3"/>
    <x v="0"/>
    <x v="1"/>
    <s v="Free"/>
    <n v="1"/>
    <n v="0"/>
    <n v="0"/>
    <n v="0"/>
    <n v="0"/>
    <n v="0"/>
    <n v="0"/>
    <n v="0"/>
    <m/>
    <n v="22.9"/>
  </r>
  <r>
    <s v="USR-100902"/>
    <d v="2025-03-14T00:00:00"/>
    <x v="1"/>
    <x v="1"/>
    <x v="0"/>
    <x v="1"/>
    <s v="Premium"/>
    <n v="0"/>
    <n v="0"/>
    <n v="0"/>
    <n v="0"/>
    <n v="0"/>
    <n v="0"/>
    <n v="0"/>
    <n v="0"/>
    <m/>
    <n v="64.599999999999994"/>
  </r>
  <r>
    <s v="USR-100903"/>
    <d v="2025-03-29T00:00:00"/>
    <x v="1"/>
    <x v="3"/>
    <x v="1"/>
    <x v="3"/>
    <s v="Free"/>
    <n v="1"/>
    <n v="0"/>
    <n v="0"/>
    <n v="0"/>
    <n v="0"/>
    <n v="2"/>
    <n v="1"/>
    <n v="0"/>
    <m/>
    <n v="54.4"/>
  </r>
  <r>
    <s v="USR-100904"/>
    <d v="2025-02-13T00:00:00"/>
    <x v="1"/>
    <x v="0"/>
    <x v="0"/>
    <x v="1"/>
    <s v="Free"/>
    <n v="1"/>
    <n v="1"/>
    <n v="1"/>
    <n v="0"/>
    <n v="0"/>
    <n v="0"/>
    <n v="0"/>
    <n v="0"/>
    <m/>
    <n v="56.8"/>
  </r>
  <r>
    <s v="USR-100905"/>
    <d v="2025-01-23T00:00:00"/>
    <x v="1"/>
    <x v="3"/>
    <x v="1"/>
    <x v="2"/>
    <s v="Free"/>
    <n v="1"/>
    <n v="1"/>
    <n v="1"/>
    <n v="1"/>
    <n v="341.38"/>
    <n v="0"/>
    <n v="0"/>
    <n v="0"/>
    <n v="2"/>
    <n v="63.6"/>
  </r>
  <r>
    <s v="USR-100906"/>
    <d v="2025-02-24T00:00:00"/>
    <x v="1"/>
    <x v="2"/>
    <x v="1"/>
    <x v="4"/>
    <s v="Free"/>
    <n v="1"/>
    <n v="0"/>
    <n v="0"/>
    <n v="0"/>
    <n v="0"/>
    <n v="0"/>
    <n v="0"/>
    <n v="0"/>
    <m/>
    <n v="58.2"/>
  </r>
  <r>
    <s v="USR-100907"/>
    <d v="2025-02-28T00:00:00"/>
    <x v="1"/>
    <x v="1"/>
    <x v="1"/>
    <x v="2"/>
    <s v="Free"/>
    <n v="1"/>
    <n v="1"/>
    <n v="0"/>
    <n v="0"/>
    <n v="0"/>
    <n v="0"/>
    <n v="0"/>
    <n v="0"/>
    <m/>
    <n v="54.6"/>
  </r>
  <r>
    <s v="USR-100908"/>
    <d v="2025-01-07T00:00:00"/>
    <x v="1"/>
    <x v="1"/>
    <x v="2"/>
    <x v="1"/>
    <s v="Basic"/>
    <n v="1"/>
    <n v="0"/>
    <n v="0"/>
    <n v="0"/>
    <n v="0"/>
    <n v="0"/>
    <n v="0"/>
    <n v="0"/>
    <m/>
    <n v="81.900000000000006"/>
  </r>
  <r>
    <s v="USR-100909"/>
    <d v="2025-03-21T00:00:00"/>
    <x v="1"/>
    <x v="1"/>
    <x v="0"/>
    <x v="0"/>
    <s v="Free"/>
    <n v="1"/>
    <n v="0"/>
    <n v="0"/>
    <n v="0"/>
    <n v="0"/>
    <n v="3"/>
    <n v="1"/>
    <n v="0"/>
    <m/>
    <n v="53.3"/>
  </r>
  <r>
    <s v="USR-100910"/>
    <d v="2025-02-18T00:00:00"/>
    <x v="1"/>
    <x v="0"/>
    <x v="0"/>
    <x v="1"/>
    <s v="Basic"/>
    <n v="0"/>
    <n v="0"/>
    <n v="0"/>
    <n v="0"/>
    <n v="0"/>
    <n v="0"/>
    <n v="0"/>
    <n v="0"/>
    <m/>
    <n v="54.2"/>
  </r>
  <r>
    <s v="USR-100911"/>
    <d v="2025-01-05T00:00:00"/>
    <x v="1"/>
    <x v="0"/>
    <x v="1"/>
    <x v="2"/>
    <s v="Free"/>
    <n v="1"/>
    <n v="1"/>
    <n v="0"/>
    <n v="0"/>
    <n v="0"/>
    <n v="0"/>
    <n v="0"/>
    <n v="0"/>
    <m/>
    <n v="65.599999999999994"/>
  </r>
  <r>
    <s v="USR-100912"/>
    <d v="2025-03-11T00:00:00"/>
    <x v="1"/>
    <x v="2"/>
    <x v="0"/>
    <x v="1"/>
    <s v="Basic"/>
    <n v="1"/>
    <n v="0"/>
    <n v="0"/>
    <n v="0"/>
    <n v="0"/>
    <n v="1"/>
    <n v="1"/>
    <n v="0"/>
    <m/>
    <n v="56.5"/>
  </r>
  <r>
    <s v="USR-100913"/>
    <d v="2025-01-09T00:00:00"/>
    <x v="1"/>
    <x v="0"/>
    <x v="0"/>
    <x v="1"/>
    <s v="Basic"/>
    <n v="1"/>
    <n v="0"/>
    <n v="0"/>
    <n v="0"/>
    <n v="0"/>
    <n v="0"/>
    <n v="0"/>
    <n v="0"/>
    <m/>
    <n v="59.7"/>
  </r>
  <r>
    <s v="USR-100914"/>
    <d v="2025-01-08T00:00:00"/>
    <x v="1"/>
    <x v="3"/>
    <x v="1"/>
    <x v="1"/>
    <s v="Free"/>
    <n v="1"/>
    <n v="1"/>
    <n v="1"/>
    <n v="0"/>
    <n v="0"/>
    <n v="0"/>
    <n v="0"/>
    <n v="0"/>
    <m/>
    <n v="72.5"/>
  </r>
  <r>
    <s v="USR-100915"/>
    <d v="2025-05-01T00:00:00"/>
    <x v="1"/>
    <x v="2"/>
    <x v="0"/>
    <x v="2"/>
    <s v="Free"/>
    <n v="1"/>
    <n v="0"/>
    <n v="0"/>
    <n v="0"/>
    <n v="0"/>
    <n v="0"/>
    <n v="0"/>
    <n v="0"/>
    <m/>
    <n v="64.3"/>
  </r>
  <r>
    <s v="USR-100916"/>
    <d v="2025-03-03T00:00:00"/>
    <x v="1"/>
    <x v="3"/>
    <x v="1"/>
    <x v="4"/>
    <s v="Free"/>
    <n v="1"/>
    <n v="0"/>
    <n v="0"/>
    <n v="0"/>
    <n v="0"/>
    <n v="0"/>
    <n v="0"/>
    <n v="0"/>
    <m/>
    <n v="64.5"/>
  </r>
  <r>
    <s v="USR-100917"/>
    <d v="2025-02-23T00:00:00"/>
    <x v="1"/>
    <x v="1"/>
    <x v="0"/>
    <x v="4"/>
    <s v="Basic"/>
    <n v="1"/>
    <n v="1"/>
    <n v="1"/>
    <n v="0"/>
    <n v="0"/>
    <n v="0"/>
    <n v="0"/>
    <n v="0"/>
    <m/>
    <n v="70.599999999999994"/>
  </r>
  <r>
    <s v="USR-100918"/>
    <d v="2025-02-17T00:00:00"/>
    <x v="1"/>
    <x v="3"/>
    <x v="0"/>
    <x v="1"/>
    <s v="Basic"/>
    <n v="0"/>
    <n v="0"/>
    <n v="0"/>
    <n v="0"/>
    <n v="0"/>
    <n v="0"/>
    <n v="0"/>
    <n v="0"/>
    <m/>
    <n v="58.4"/>
  </r>
  <r>
    <s v="USR-100919"/>
    <d v="2025-05-21T00:00:00"/>
    <x v="1"/>
    <x v="2"/>
    <x v="1"/>
    <x v="1"/>
    <s v="Basic"/>
    <n v="1"/>
    <n v="0"/>
    <n v="0"/>
    <n v="0"/>
    <n v="0"/>
    <n v="0"/>
    <n v="0"/>
    <n v="0"/>
    <m/>
    <n v="56.6"/>
  </r>
  <r>
    <s v="USR-100920"/>
    <d v="2025-01-30T00:00:00"/>
    <x v="1"/>
    <x v="3"/>
    <x v="1"/>
    <x v="1"/>
    <s v="Free"/>
    <n v="1"/>
    <n v="0"/>
    <n v="0"/>
    <n v="0"/>
    <n v="0"/>
    <n v="0"/>
    <n v="0"/>
    <n v="0"/>
    <m/>
    <n v="61.8"/>
  </r>
  <r>
    <s v="USR-100921"/>
    <d v="2025-03-20T00:00:00"/>
    <x v="1"/>
    <x v="1"/>
    <x v="1"/>
    <x v="0"/>
    <s v="Free"/>
    <n v="1"/>
    <n v="1"/>
    <n v="1"/>
    <n v="1"/>
    <n v="513.52"/>
    <n v="0"/>
    <n v="0"/>
    <n v="0"/>
    <n v="8"/>
    <n v="43.4"/>
  </r>
  <r>
    <s v="USR-100922"/>
    <d v="2025-04-10T00:00:00"/>
    <x v="1"/>
    <x v="1"/>
    <x v="2"/>
    <x v="2"/>
    <s v="Free"/>
    <n v="0"/>
    <n v="0"/>
    <n v="0"/>
    <n v="0"/>
    <n v="0"/>
    <n v="0"/>
    <n v="0"/>
    <n v="0"/>
    <m/>
    <n v="43"/>
  </r>
  <r>
    <s v="USR-100923"/>
    <d v="2025-03-07T00:00:00"/>
    <x v="1"/>
    <x v="0"/>
    <x v="0"/>
    <x v="1"/>
    <s v="Free"/>
    <n v="1"/>
    <n v="1"/>
    <n v="1"/>
    <n v="0"/>
    <n v="0"/>
    <n v="0"/>
    <n v="0"/>
    <n v="0"/>
    <m/>
    <n v="51.1"/>
  </r>
  <r>
    <s v="USR-100924"/>
    <d v="2025-03-12T00:00:00"/>
    <x v="1"/>
    <x v="1"/>
    <x v="1"/>
    <x v="0"/>
    <s v="Basic"/>
    <n v="1"/>
    <n v="0"/>
    <n v="0"/>
    <n v="0"/>
    <n v="0"/>
    <n v="0"/>
    <n v="0"/>
    <n v="0"/>
    <m/>
    <n v="48.8"/>
  </r>
  <r>
    <s v="USR-100925"/>
    <d v="2025-02-24T00:00:00"/>
    <x v="1"/>
    <x v="2"/>
    <x v="1"/>
    <x v="3"/>
    <s v="Free"/>
    <n v="0"/>
    <n v="0"/>
    <n v="0"/>
    <n v="0"/>
    <n v="0"/>
    <n v="0"/>
    <n v="0"/>
    <n v="0"/>
    <m/>
    <n v="73.2"/>
  </r>
  <r>
    <s v="USR-100926"/>
    <d v="2025-01-15T00:00:00"/>
    <x v="1"/>
    <x v="2"/>
    <x v="1"/>
    <x v="3"/>
    <s v="Free"/>
    <n v="1"/>
    <n v="1"/>
    <n v="1"/>
    <n v="0"/>
    <n v="0"/>
    <n v="0"/>
    <n v="0"/>
    <n v="0"/>
    <m/>
    <n v="80"/>
  </r>
  <r>
    <s v="USR-100927"/>
    <d v="2025-01-07T00:00:00"/>
    <x v="1"/>
    <x v="0"/>
    <x v="0"/>
    <x v="2"/>
    <s v="Free"/>
    <n v="1"/>
    <n v="0"/>
    <n v="0"/>
    <n v="0"/>
    <n v="0"/>
    <n v="0"/>
    <n v="0"/>
    <n v="0"/>
    <m/>
    <n v="52.3"/>
  </r>
  <r>
    <s v="USR-100928"/>
    <d v="2025-03-02T00:00:00"/>
    <x v="1"/>
    <x v="0"/>
    <x v="0"/>
    <x v="1"/>
    <s v="Free"/>
    <n v="0"/>
    <n v="0"/>
    <n v="0"/>
    <n v="0"/>
    <n v="0"/>
    <n v="0"/>
    <n v="0"/>
    <n v="0"/>
    <m/>
    <n v="49.1"/>
  </r>
  <r>
    <s v="USR-100929"/>
    <d v="2025-01-05T00:00:00"/>
    <x v="1"/>
    <x v="3"/>
    <x v="0"/>
    <x v="3"/>
    <s v="Basic"/>
    <n v="0"/>
    <n v="0"/>
    <n v="0"/>
    <n v="0"/>
    <n v="0"/>
    <n v="0"/>
    <n v="0"/>
    <n v="0"/>
    <m/>
    <n v="45.3"/>
  </r>
  <r>
    <s v="USR-100930"/>
    <d v="2025-03-03T00:00:00"/>
    <x v="1"/>
    <x v="3"/>
    <x v="1"/>
    <x v="1"/>
    <s v="Free"/>
    <n v="1"/>
    <n v="1"/>
    <n v="0"/>
    <n v="0"/>
    <n v="0"/>
    <n v="0"/>
    <n v="0"/>
    <n v="0"/>
    <m/>
    <n v="49.1"/>
  </r>
  <r>
    <s v="USR-100931"/>
    <d v="2025-03-31T00:00:00"/>
    <x v="1"/>
    <x v="2"/>
    <x v="0"/>
    <x v="3"/>
    <s v="Free"/>
    <n v="1"/>
    <n v="1"/>
    <n v="1"/>
    <n v="1"/>
    <n v="476.44"/>
    <n v="0"/>
    <n v="0"/>
    <n v="0"/>
    <n v="3"/>
    <n v="88.6"/>
  </r>
  <r>
    <s v="USR-100932"/>
    <d v="2025-01-14T00:00:00"/>
    <x v="1"/>
    <x v="2"/>
    <x v="0"/>
    <x v="2"/>
    <s v="Premium"/>
    <n v="0"/>
    <n v="0"/>
    <n v="0"/>
    <n v="0"/>
    <n v="0"/>
    <n v="1"/>
    <n v="1"/>
    <n v="0"/>
    <m/>
    <n v="54.4"/>
  </r>
  <r>
    <s v="USR-100933"/>
    <d v="2025-01-15T00:00:00"/>
    <x v="1"/>
    <x v="1"/>
    <x v="0"/>
    <x v="2"/>
    <s v="Premium"/>
    <n v="1"/>
    <n v="0"/>
    <n v="0"/>
    <n v="0"/>
    <n v="0"/>
    <n v="0"/>
    <n v="0"/>
    <n v="0"/>
    <m/>
    <n v="72.900000000000006"/>
  </r>
  <r>
    <s v="USR-100934"/>
    <d v="2025-04-25T00:00:00"/>
    <x v="1"/>
    <x v="1"/>
    <x v="0"/>
    <x v="1"/>
    <s v="Free"/>
    <n v="1"/>
    <n v="0"/>
    <n v="0"/>
    <n v="0"/>
    <n v="0"/>
    <n v="0"/>
    <n v="0"/>
    <n v="0"/>
    <m/>
    <n v="53.2"/>
  </r>
  <r>
    <s v="USR-100935"/>
    <d v="2025-03-21T00:00:00"/>
    <x v="1"/>
    <x v="2"/>
    <x v="1"/>
    <x v="1"/>
    <s v="Basic"/>
    <n v="1"/>
    <n v="1"/>
    <n v="0"/>
    <n v="0"/>
    <n v="0"/>
    <n v="0"/>
    <n v="0"/>
    <n v="0"/>
    <m/>
    <n v="48.7"/>
  </r>
  <r>
    <s v="USR-100936"/>
    <d v="2025-04-26T00:00:00"/>
    <x v="1"/>
    <x v="3"/>
    <x v="1"/>
    <x v="2"/>
    <s v="Basic"/>
    <n v="1"/>
    <n v="1"/>
    <n v="1"/>
    <n v="0"/>
    <n v="0"/>
    <n v="0"/>
    <n v="0"/>
    <n v="0"/>
    <m/>
    <n v="59.9"/>
  </r>
  <r>
    <s v="USR-100937"/>
    <d v="2025-05-21T00:00:00"/>
    <x v="1"/>
    <x v="3"/>
    <x v="0"/>
    <x v="5"/>
    <s v="Basic"/>
    <n v="0"/>
    <n v="0"/>
    <n v="0"/>
    <n v="0"/>
    <n v="0"/>
    <n v="0"/>
    <n v="0"/>
    <n v="0"/>
    <m/>
    <n v="82"/>
  </r>
  <r>
    <s v="USR-100938"/>
    <d v="2025-04-18T00:00:00"/>
    <x v="1"/>
    <x v="2"/>
    <x v="1"/>
    <x v="2"/>
    <s v="Free"/>
    <n v="0"/>
    <n v="0"/>
    <n v="0"/>
    <n v="0"/>
    <n v="0"/>
    <n v="0"/>
    <n v="0"/>
    <n v="0"/>
    <m/>
    <n v="72.099999999999994"/>
  </r>
  <r>
    <s v="USR-100939"/>
    <d v="2025-01-29T00:00:00"/>
    <x v="1"/>
    <x v="0"/>
    <x v="0"/>
    <x v="0"/>
    <s v="Premium"/>
    <n v="1"/>
    <n v="1"/>
    <n v="0"/>
    <n v="0"/>
    <n v="0"/>
    <n v="0"/>
    <n v="0"/>
    <n v="0"/>
    <m/>
    <n v="68.3"/>
  </r>
  <r>
    <s v="USR-100940"/>
    <d v="2025-05-28T00:00:00"/>
    <x v="1"/>
    <x v="1"/>
    <x v="1"/>
    <x v="1"/>
    <s v="Premium"/>
    <n v="0"/>
    <n v="0"/>
    <n v="0"/>
    <n v="0"/>
    <n v="0"/>
    <n v="0"/>
    <n v="0"/>
    <n v="0"/>
    <m/>
    <n v="100"/>
  </r>
  <r>
    <s v="USR-100941"/>
    <d v="2025-01-15T00:00:00"/>
    <x v="1"/>
    <x v="2"/>
    <x v="1"/>
    <x v="0"/>
    <s v="Free"/>
    <n v="1"/>
    <n v="1"/>
    <n v="1"/>
    <n v="0"/>
    <n v="0"/>
    <n v="2"/>
    <n v="1"/>
    <n v="0"/>
    <m/>
    <n v="76.5"/>
  </r>
  <r>
    <s v="USR-100942"/>
    <d v="2025-01-03T00:00:00"/>
    <x v="1"/>
    <x v="3"/>
    <x v="1"/>
    <x v="1"/>
    <s v="Basic"/>
    <n v="1"/>
    <n v="1"/>
    <n v="0"/>
    <n v="0"/>
    <n v="0"/>
    <n v="0"/>
    <n v="0"/>
    <n v="0"/>
    <m/>
    <n v="62"/>
  </r>
  <r>
    <s v="USR-100943"/>
    <d v="2025-02-04T00:00:00"/>
    <x v="1"/>
    <x v="3"/>
    <x v="1"/>
    <x v="2"/>
    <s v="Free"/>
    <n v="1"/>
    <n v="1"/>
    <n v="1"/>
    <n v="1"/>
    <n v="324.68"/>
    <n v="1"/>
    <n v="1"/>
    <n v="0"/>
    <n v="7"/>
    <n v="50.1"/>
  </r>
  <r>
    <s v="USR-100944"/>
    <d v="2025-02-22T00:00:00"/>
    <x v="1"/>
    <x v="3"/>
    <x v="1"/>
    <x v="3"/>
    <s v="Premium"/>
    <n v="1"/>
    <n v="0"/>
    <n v="0"/>
    <n v="0"/>
    <n v="0"/>
    <n v="0"/>
    <n v="0"/>
    <n v="0"/>
    <m/>
    <n v="62.1"/>
  </r>
  <r>
    <s v="USR-100945"/>
    <d v="2025-05-06T00:00:00"/>
    <x v="1"/>
    <x v="1"/>
    <x v="1"/>
    <x v="1"/>
    <s v="Basic"/>
    <n v="1"/>
    <n v="0"/>
    <n v="0"/>
    <n v="0"/>
    <n v="0"/>
    <n v="0"/>
    <n v="0"/>
    <n v="0"/>
    <m/>
    <n v="49.7"/>
  </r>
  <r>
    <s v="USR-100946"/>
    <d v="2025-01-31T00:00:00"/>
    <x v="1"/>
    <x v="3"/>
    <x v="1"/>
    <x v="1"/>
    <s v="Free"/>
    <n v="1"/>
    <n v="0"/>
    <n v="0"/>
    <n v="0"/>
    <n v="0"/>
    <n v="3"/>
    <n v="1"/>
    <n v="0"/>
    <m/>
    <n v="71.099999999999994"/>
  </r>
  <r>
    <s v="USR-100947"/>
    <d v="2025-02-18T00:00:00"/>
    <x v="1"/>
    <x v="0"/>
    <x v="1"/>
    <x v="4"/>
    <s v="Basic"/>
    <n v="0"/>
    <n v="0"/>
    <n v="0"/>
    <n v="0"/>
    <n v="0"/>
    <n v="0"/>
    <n v="0"/>
    <n v="0"/>
    <m/>
    <n v="70.8"/>
  </r>
  <r>
    <s v="USR-100948"/>
    <d v="2025-04-23T00:00:00"/>
    <x v="1"/>
    <x v="2"/>
    <x v="1"/>
    <x v="2"/>
    <s v="Free"/>
    <n v="1"/>
    <n v="1"/>
    <n v="1"/>
    <n v="1"/>
    <n v="301.98"/>
    <n v="0"/>
    <n v="0"/>
    <n v="0"/>
    <n v="10"/>
    <n v="52.2"/>
  </r>
  <r>
    <s v="USR-100949"/>
    <d v="2025-02-06T00:00:00"/>
    <x v="1"/>
    <x v="0"/>
    <x v="1"/>
    <x v="1"/>
    <s v="Free"/>
    <n v="1"/>
    <n v="1"/>
    <n v="1"/>
    <n v="0"/>
    <n v="0"/>
    <n v="0"/>
    <n v="0"/>
    <n v="0"/>
    <m/>
    <n v="73"/>
  </r>
  <r>
    <s v="USR-100950"/>
    <d v="2025-04-26T00:00:00"/>
    <x v="1"/>
    <x v="3"/>
    <x v="0"/>
    <x v="2"/>
    <s v="Free"/>
    <n v="0"/>
    <n v="0"/>
    <n v="0"/>
    <n v="0"/>
    <n v="0"/>
    <n v="0"/>
    <n v="0"/>
    <n v="0"/>
    <m/>
    <n v="78.2"/>
  </r>
  <r>
    <s v="USR-100951"/>
    <d v="2025-03-30T00:00:00"/>
    <x v="1"/>
    <x v="1"/>
    <x v="0"/>
    <x v="2"/>
    <s v="Basic"/>
    <n v="1"/>
    <n v="0"/>
    <n v="0"/>
    <n v="0"/>
    <n v="0"/>
    <n v="0"/>
    <n v="0"/>
    <n v="0"/>
    <m/>
    <n v="68.8"/>
  </r>
  <r>
    <s v="USR-100952"/>
    <d v="2025-04-13T00:00:00"/>
    <x v="1"/>
    <x v="1"/>
    <x v="1"/>
    <x v="5"/>
    <s v="Premium"/>
    <n v="1"/>
    <n v="0"/>
    <n v="0"/>
    <n v="0"/>
    <n v="0"/>
    <n v="0"/>
    <n v="0"/>
    <n v="0"/>
    <m/>
    <n v="57.1"/>
  </r>
  <r>
    <s v="USR-100953"/>
    <d v="2025-04-04T00:00:00"/>
    <x v="1"/>
    <x v="2"/>
    <x v="0"/>
    <x v="1"/>
    <s v="Premium"/>
    <n v="0"/>
    <n v="0"/>
    <n v="0"/>
    <n v="0"/>
    <n v="0"/>
    <n v="1"/>
    <n v="1"/>
    <n v="0"/>
    <m/>
    <n v="74.599999999999994"/>
  </r>
  <r>
    <s v="USR-100954"/>
    <d v="2025-04-03T00:00:00"/>
    <x v="1"/>
    <x v="0"/>
    <x v="0"/>
    <x v="3"/>
    <s v="Free"/>
    <n v="1"/>
    <n v="0"/>
    <n v="0"/>
    <n v="0"/>
    <n v="0"/>
    <n v="1"/>
    <n v="1"/>
    <n v="0"/>
    <m/>
    <n v="64.099999999999994"/>
  </r>
  <r>
    <s v="USR-100955"/>
    <d v="2025-03-14T00:00:00"/>
    <x v="1"/>
    <x v="1"/>
    <x v="1"/>
    <x v="2"/>
    <s v="Premium"/>
    <n v="1"/>
    <n v="0"/>
    <n v="0"/>
    <n v="0"/>
    <n v="0"/>
    <n v="0"/>
    <n v="0"/>
    <n v="0"/>
    <m/>
    <n v="67.3"/>
  </r>
  <r>
    <s v="USR-100956"/>
    <d v="2025-01-14T00:00:00"/>
    <x v="1"/>
    <x v="1"/>
    <x v="1"/>
    <x v="3"/>
    <s v="Free"/>
    <n v="0"/>
    <n v="0"/>
    <n v="0"/>
    <n v="0"/>
    <n v="0"/>
    <n v="2"/>
    <n v="1"/>
    <n v="0"/>
    <m/>
    <n v="41"/>
  </r>
  <r>
    <s v="USR-100957"/>
    <d v="2025-05-05T00:00:00"/>
    <x v="1"/>
    <x v="1"/>
    <x v="1"/>
    <x v="2"/>
    <s v="Free"/>
    <n v="0"/>
    <n v="0"/>
    <n v="0"/>
    <n v="0"/>
    <n v="0"/>
    <n v="0"/>
    <n v="0"/>
    <n v="0"/>
    <m/>
    <n v="48.1"/>
  </r>
  <r>
    <s v="USR-100958"/>
    <d v="2025-05-02T00:00:00"/>
    <x v="1"/>
    <x v="1"/>
    <x v="0"/>
    <x v="4"/>
    <s v="Free"/>
    <n v="0"/>
    <n v="0"/>
    <n v="0"/>
    <n v="0"/>
    <n v="0"/>
    <n v="1"/>
    <n v="1"/>
    <n v="0"/>
    <m/>
    <n v="60.8"/>
  </r>
  <r>
    <s v="USR-100959"/>
    <d v="2025-05-21T00:00:00"/>
    <x v="1"/>
    <x v="2"/>
    <x v="1"/>
    <x v="1"/>
    <s v="Free"/>
    <n v="1"/>
    <n v="0"/>
    <n v="0"/>
    <n v="0"/>
    <n v="0"/>
    <n v="0"/>
    <n v="0"/>
    <n v="0"/>
    <m/>
    <n v="63.1"/>
  </r>
  <r>
    <s v="USR-100960"/>
    <d v="2025-05-16T00:00:00"/>
    <x v="1"/>
    <x v="0"/>
    <x v="1"/>
    <x v="3"/>
    <s v="Premium"/>
    <n v="1"/>
    <n v="0"/>
    <n v="0"/>
    <n v="0"/>
    <n v="0"/>
    <n v="2"/>
    <n v="1"/>
    <n v="0"/>
    <m/>
    <n v="49.7"/>
  </r>
  <r>
    <s v="USR-100961"/>
    <d v="2025-05-24T00:00:00"/>
    <x v="1"/>
    <x v="2"/>
    <x v="0"/>
    <x v="1"/>
    <s v="Premium"/>
    <n v="1"/>
    <n v="1"/>
    <n v="1"/>
    <n v="0"/>
    <n v="0"/>
    <n v="1"/>
    <n v="1"/>
    <n v="0"/>
    <m/>
    <n v="83.4"/>
  </r>
  <r>
    <s v="USR-100962"/>
    <d v="2025-03-18T00:00:00"/>
    <x v="1"/>
    <x v="2"/>
    <x v="1"/>
    <x v="1"/>
    <s v="Basic"/>
    <n v="1"/>
    <n v="0"/>
    <n v="0"/>
    <n v="0"/>
    <n v="0"/>
    <n v="0"/>
    <n v="0"/>
    <n v="0"/>
    <m/>
    <n v="75.900000000000006"/>
  </r>
  <r>
    <s v="USR-100963"/>
    <d v="2025-01-11T00:00:00"/>
    <x v="1"/>
    <x v="2"/>
    <x v="0"/>
    <x v="2"/>
    <s v="Free"/>
    <n v="0"/>
    <n v="0"/>
    <n v="0"/>
    <n v="0"/>
    <n v="0"/>
    <n v="1"/>
    <n v="1"/>
    <n v="0"/>
    <m/>
    <n v="71.8"/>
  </r>
  <r>
    <s v="USR-100964"/>
    <d v="2025-02-09T00:00:00"/>
    <x v="1"/>
    <x v="3"/>
    <x v="1"/>
    <x v="1"/>
    <s v="Basic"/>
    <n v="0"/>
    <n v="0"/>
    <n v="0"/>
    <n v="0"/>
    <n v="0"/>
    <n v="0"/>
    <n v="0"/>
    <n v="0"/>
    <m/>
    <n v="37.9"/>
  </r>
  <r>
    <s v="USR-100965"/>
    <d v="2025-03-01T00:00:00"/>
    <x v="1"/>
    <x v="0"/>
    <x v="0"/>
    <x v="4"/>
    <s v="Free"/>
    <n v="1"/>
    <n v="0"/>
    <n v="0"/>
    <n v="0"/>
    <n v="0"/>
    <n v="0"/>
    <n v="0"/>
    <n v="0"/>
    <m/>
    <n v="59.8"/>
  </r>
  <r>
    <s v="USR-100966"/>
    <d v="2025-05-07T00:00:00"/>
    <x v="1"/>
    <x v="0"/>
    <x v="1"/>
    <x v="1"/>
    <s v="Basic"/>
    <n v="0"/>
    <n v="0"/>
    <n v="0"/>
    <n v="0"/>
    <n v="0"/>
    <n v="0"/>
    <n v="0"/>
    <n v="0"/>
    <m/>
    <n v="66.900000000000006"/>
  </r>
  <r>
    <s v="USR-100967"/>
    <d v="2025-02-19T00:00:00"/>
    <x v="1"/>
    <x v="3"/>
    <x v="0"/>
    <x v="5"/>
    <s v="Free"/>
    <n v="1"/>
    <n v="0"/>
    <n v="0"/>
    <n v="0"/>
    <n v="0"/>
    <n v="0"/>
    <n v="0"/>
    <n v="0"/>
    <m/>
    <n v="59"/>
  </r>
  <r>
    <s v="USR-100968"/>
    <d v="2025-02-26T00:00:00"/>
    <x v="1"/>
    <x v="1"/>
    <x v="1"/>
    <x v="1"/>
    <s v="Premium"/>
    <n v="1"/>
    <n v="0"/>
    <n v="0"/>
    <n v="0"/>
    <n v="0"/>
    <n v="0"/>
    <n v="0"/>
    <n v="0"/>
    <m/>
    <n v="80.099999999999994"/>
  </r>
  <r>
    <s v="USR-100969"/>
    <d v="2025-03-23T00:00:00"/>
    <x v="1"/>
    <x v="3"/>
    <x v="1"/>
    <x v="4"/>
    <s v="Free"/>
    <n v="0"/>
    <n v="0"/>
    <n v="0"/>
    <n v="0"/>
    <n v="0"/>
    <n v="0"/>
    <n v="0"/>
    <n v="0"/>
    <m/>
    <n v="64.3"/>
  </r>
  <r>
    <s v="USR-100970"/>
    <d v="2025-04-25T00:00:00"/>
    <x v="1"/>
    <x v="3"/>
    <x v="0"/>
    <x v="4"/>
    <s v="Free"/>
    <n v="0"/>
    <n v="0"/>
    <n v="0"/>
    <n v="0"/>
    <n v="0"/>
    <n v="1"/>
    <n v="1"/>
    <n v="0"/>
    <m/>
    <n v="57.4"/>
  </r>
  <r>
    <s v="USR-100971"/>
    <d v="2025-05-10T00:00:00"/>
    <x v="1"/>
    <x v="0"/>
    <x v="0"/>
    <x v="4"/>
    <s v="Free"/>
    <n v="1"/>
    <n v="1"/>
    <n v="1"/>
    <n v="0"/>
    <n v="0"/>
    <n v="0"/>
    <n v="0"/>
    <n v="0"/>
    <m/>
    <n v="83.6"/>
  </r>
  <r>
    <s v="USR-100972"/>
    <d v="2025-04-22T00:00:00"/>
    <x v="1"/>
    <x v="2"/>
    <x v="1"/>
    <x v="2"/>
    <s v="Premium"/>
    <n v="0"/>
    <n v="0"/>
    <n v="0"/>
    <n v="0"/>
    <n v="0"/>
    <n v="0"/>
    <n v="0"/>
    <n v="0"/>
    <m/>
    <n v="45.8"/>
  </r>
  <r>
    <s v="USR-100973"/>
    <d v="2025-02-18T00:00:00"/>
    <x v="1"/>
    <x v="1"/>
    <x v="1"/>
    <x v="3"/>
    <s v="Basic"/>
    <n v="1"/>
    <n v="1"/>
    <n v="1"/>
    <n v="0"/>
    <n v="0"/>
    <n v="0"/>
    <n v="0"/>
    <n v="0"/>
    <m/>
    <n v="64.3"/>
  </r>
  <r>
    <s v="USR-100974"/>
    <d v="2025-01-26T00:00:00"/>
    <x v="1"/>
    <x v="3"/>
    <x v="1"/>
    <x v="2"/>
    <s v="Premium"/>
    <n v="1"/>
    <n v="1"/>
    <n v="1"/>
    <n v="0"/>
    <n v="0"/>
    <n v="0"/>
    <n v="0"/>
    <n v="0"/>
    <m/>
    <n v="80.5"/>
  </r>
  <r>
    <s v="USR-100975"/>
    <d v="2025-04-28T00:00:00"/>
    <x v="1"/>
    <x v="0"/>
    <x v="1"/>
    <x v="1"/>
    <s v="Free"/>
    <n v="1"/>
    <n v="0"/>
    <n v="0"/>
    <n v="0"/>
    <n v="0"/>
    <n v="0"/>
    <n v="0"/>
    <n v="0"/>
    <m/>
    <n v="46.3"/>
  </r>
  <r>
    <s v="USR-100976"/>
    <d v="2025-04-02T00:00:00"/>
    <x v="1"/>
    <x v="3"/>
    <x v="0"/>
    <x v="0"/>
    <s v="Basic"/>
    <n v="1"/>
    <n v="0"/>
    <n v="0"/>
    <n v="0"/>
    <n v="0"/>
    <n v="0"/>
    <n v="0"/>
    <n v="0"/>
    <m/>
    <n v="71.599999999999994"/>
  </r>
  <r>
    <s v="USR-100977"/>
    <d v="2025-04-12T00:00:00"/>
    <x v="1"/>
    <x v="3"/>
    <x v="0"/>
    <x v="0"/>
    <s v="Premium"/>
    <n v="1"/>
    <n v="1"/>
    <n v="0"/>
    <n v="0"/>
    <n v="0"/>
    <n v="0"/>
    <n v="0"/>
    <n v="0"/>
    <m/>
    <n v="57.8"/>
  </r>
  <r>
    <s v="USR-100978"/>
    <d v="2025-01-03T00:00:00"/>
    <x v="1"/>
    <x v="1"/>
    <x v="0"/>
    <x v="0"/>
    <s v="Basic"/>
    <n v="1"/>
    <n v="1"/>
    <n v="1"/>
    <n v="0"/>
    <n v="0"/>
    <n v="1"/>
    <n v="1"/>
    <n v="0"/>
    <m/>
    <n v="57.8"/>
  </r>
  <r>
    <s v="USR-100979"/>
    <d v="2025-05-08T00:00:00"/>
    <x v="1"/>
    <x v="0"/>
    <x v="1"/>
    <x v="2"/>
    <s v="Free"/>
    <n v="1"/>
    <n v="0"/>
    <n v="0"/>
    <n v="0"/>
    <n v="0"/>
    <n v="0"/>
    <n v="0"/>
    <n v="0"/>
    <m/>
    <n v="38.299999999999997"/>
  </r>
  <r>
    <s v="USR-100980"/>
    <d v="2025-02-20T00:00:00"/>
    <x v="1"/>
    <x v="0"/>
    <x v="1"/>
    <x v="3"/>
    <s v="Premium"/>
    <n v="1"/>
    <n v="0"/>
    <n v="0"/>
    <n v="0"/>
    <n v="0"/>
    <n v="1"/>
    <n v="1"/>
    <n v="0"/>
    <m/>
    <n v="66.099999999999994"/>
  </r>
  <r>
    <s v="USR-100981"/>
    <d v="2025-03-17T00:00:00"/>
    <x v="1"/>
    <x v="0"/>
    <x v="0"/>
    <x v="2"/>
    <s v="Premium"/>
    <n v="1"/>
    <n v="0"/>
    <n v="0"/>
    <n v="0"/>
    <n v="0"/>
    <n v="0"/>
    <n v="0"/>
    <n v="0"/>
    <m/>
    <n v="66.5"/>
  </r>
  <r>
    <s v="USR-100982"/>
    <d v="2025-04-10T00:00:00"/>
    <x v="1"/>
    <x v="3"/>
    <x v="0"/>
    <x v="0"/>
    <s v="Free"/>
    <n v="1"/>
    <n v="0"/>
    <n v="0"/>
    <n v="0"/>
    <n v="0"/>
    <n v="3"/>
    <n v="1"/>
    <n v="0"/>
    <m/>
    <n v="51.5"/>
  </r>
  <r>
    <s v="USR-100983"/>
    <d v="2025-05-08T00:00:00"/>
    <x v="1"/>
    <x v="0"/>
    <x v="0"/>
    <x v="3"/>
    <s v="Free"/>
    <n v="1"/>
    <n v="0"/>
    <n v="0"/>
    <n v="0"/>
    <n v="0"/>
    <n v="0"/>
    <n v="0"/>
    <n v="0"/>
    <m/>
    <n v="59.9"/>
  </r>
  <r>
    <s v="USR-100984"/>
    <d v="2025-04-19T00:00:00"/>
    <x v="1"/>
    <x v="1"/>
    <x v="1"/>
    <x v="2"/>
    <s v="Basic"/>
    <n v="1"/>
    <n v="0"/>
    <n v="0"/>
    <n v="0"/>
    <n v="0"/>
    <n v="0"/>
    <n v="0"/>
    <n v="0"/>
    <m/>
    <n v="58.8"/>
  </r>
  <r>
    <s v="USR-100985"/>
    <d v="2025-01-01T00:00:00"/>
    <x v="1"/>
    <x v="3"/>
    <x v="2"/>
    <x v="2"/>
    <s v="Basic"/>
    <n v="1"/>
    <n v="0"/>
    <n v="0"/>
    <n v="0"/>
    <n v="0"/>
    <n v="0"/>
    <n v="0"/>
    <n v="0"/>
    <m/>
    <n v="69.599999999999994"/>
  </r>
  <r>
    <s v="USR-100986"/>
    <d v="2025-03-10T00:00:00"/>
    <x v="1"/>
    <x v="2"/>
    <x v="1"/>
    <x v="2"/>
    <s v="Free"/>
    <n v="1"/>
    <n v="0"/>
    <n v="0"/>
    <n v="0"/>
    <n v="0"/>
    <n v="0"/>
    <n v="0"/>
    <n v="0"/>
    <m/>
    <n v="77.5"/>
  </r>
  <r>
    <s v="USR-100987"/>
    <d v="2025-03-10T00:00:00"/>
    <x v="1"/>
    <x v="2"/>
    <x v="2"/>
    <x v="4"/>
    <s v="Premium"/>
    <n v="0"/>
    <n v="0"/>
    <n v="0"/>
    <n v="0"/>
    <n v="0"/>
    <n v="2"/>
    <n v="1"/>
    <n v="0"/>
    <m/>
    <n v="57.5"/>
  </r>
  <r>
    <s v="USR-100988"/>
    <d v="2025-04-19T00:00:00"/>
    <x v="1"/>
    <x v="1"/>
    <x v="2"/>
    <x v="0"/>
    <s v="Basic"/>
    <n v="1"/>
    <n v="0"/>
    <n v="0"/>
    <n v="0"/>
    <n v="0"/>
    <n v="0"/>
    <n v="0"/>
    <n v="0"/>
    <m/>
    <n v="64.2"/>
  </r>
  <r>
    <s v="USR-100989"/>
    <d v="2025-04-11T00:00:00"/>
    <x v="1"/>
    <x v="1"/>
    <x v="0"/>
    <x v="1"/>
    <s v="Free"/>
    <n v="0"/>
    <n v="0"/>
    <n v="0"/>
    <n v="0"/>
    <n v="0"/>
    <n v="0"/>
    <n v="0"/>
    <n v="0"/>
    <m/>
    <n v="60"/>
  </r>
  <r>
    <s v="USR-100990"/>
    <d v="2025-04-10T00:00:00"/>
    <x v="1"/>
    <x v="2"/>
    <x v="1"/>
    <x v="1"/>
    <s v="Basic"/>
    <n v="1"/>
    <n v="0"/>
    <n v="0"/>
    <n v="0"/>
    <n v="0"/>
    <n v="1"/>
    <n v="1"/>
    <n v="0"/>
    <m/>
    <n v="43.7"/>
  </r>
  <r>
    <s v="USR-100991"/>
    <d v="2025-01-13T00:00:00"/>
    <x v="1"/>
    <x v="1"/>
    <x v="0"/>
    <x v="4"/>
    <s v="Free"/>
    <n v="1"/>
    <n v="0"/>
    <n v="0"/>
    <n v="0"/>
    <n v="0"/>
    <n v="0"/>
    <n v="0"/>
    <n v="0"/>
    <m/>
    <n v="64.900000000000006"/>
  </r>
  <r>
    <s v="USR-100992"/>
    <d v="2025-03-28T00:00:00"/>
    <x v="1"/>
    <x v="3"/>
    <x v="0"/>
    <x v="1"/>
    <s v="Free"/>
    <n v="1"/>
    <n v="1"/>
    <n v="0"/>
    <n v="0"/>
    <n v="0"/>
    <n v="0"/>
    <n v="0"/>
    <n v="0"/>
    <m/>
    <n v="45.5"/>
  </r>
  <r>
    <s v="USR-100993"/>
    <d v="2025-01-29T00:00:00"/>
    <x v="1"/>
    <x v="2"/>
    <x v="1"/>
    <x v="2"/>
    <s v="Free"/>
    <n v="1"/>
    <n v="1"/>
    <n v="1"/>
    <n v="1"/>
    <n v="1772.97"/>
    <n v="0"/>
    <n v="0"/>
    <n v="0"/>
    <n v="8"/>
    <n v="61.2"/>
  </r>
  <r>
    <s v="USR-100994"/>
    <d v="2025-03-27T00:00:00"/>
    <x v="1"/>
    <x v="3"/>
    <x v="1"/>
    <x v="3"/>
    <s v="Free"/>
    <n v="0"/>
    <n v="0"/>
    <n v="0"/>
    <n v="0"/>
    <n v="0"/>
    <n v="0"/>
    <n v="0"/>
    <n v="0"/>
    <m/>
    <n v="87.8"/>
  </r>
  <r>
    <s v="USR-100995"/>
    <d v="2025-03-20T00:00:00"/>
    <x v="1"/>
    <x v="2"/>
    <x v="2"/>
    <x v="4"/>
    <s v="Free"/>
    <n v="0"/>
    <n v="0"/>
    <n v="0"/>
    <n v="0"/>
    <n v="0"/>
    <n v="0"/>
    <n v="0"/>
    <n v="0"/>
    <m/>
    <n v="86.4"/>
  </r>
  <r>
    <s v="USR-100996"/>
    <d v="2025-01-09T00:00:00"/>
    <x v="1"/>
    <x v="0"/>
    <x v="1"/>
    <x v="2"/>
    <s v="Basic"/>
    <n v="0"/>
    <n v="0"/>
    <n v="0"/>
    <n v="0"/>
    <n v="0"/>
    <n v="1"/>
    <n v="1"/>
    <n v="0"/>
    <m/>
    <n v="71.400000000000006"/>
  </r>
  <r>
    <s v="USR-100997"/>
    <d v="2025-04-25T00:00:00"/>
    <x v="1"/>
    <x v="1"/>
    <x v="1"/>
    <x v="4"/>
    <s v="Free"/>
    <n v="1"/>
    <n v="1"/>
    <n v="1"/>
    <n v="1"/>
    <n v="218.66"/>
    <n v="0"/>
    <n v="0"/>
    <n v="1"/>
    <n v="8"/>
    <n v="72.2"/>
  </r>
  <r>
    <s v="USR-100998"/>
    <d v="2025-04-11T00:00:00"/>
    <x v="1"/>
    <x v="3"/>
    <x v="0"/>
    <x v="4"/>
    <s v="Free"/>
    <n v="1"/>
    <n v="0"/>
    <n v="0"/>
    <n v="0"/>
    <n v="0"/>
    <n v="0"/>
    <n v="0"/>
    <n v="0"/>
    <m/>
    <n v="51.9"/>
  </r>
  <r>
    <s v="USR-100999"/>
    <d v="2025-02-05T00:00:00"/>
    <x v="1"/>
    <x v="2"/>
    <x v="1"/>
    <x v="4"/>
    <s v="Basic"/>
    <n v="1"/>
    <n v="1"/>
    <n v="1"/>
    <n v="0"/>
    <n v="0"/>
    <n v="0"/>
    <n v="0"/>
    <n v="0"/>
    <m/>
    <n v="70.3"/>
  </r>
  <r>
    <s v="USR-101000"/>
    <d v="2025-03-28T00:00:00"/>
    <x v="1"/>
    <x v="3"/>
    <x v="1"/>
    <x v="4"/>
    <s v="Premium"/>
    <n v="1"/>
    <n v="0"/>
    <n v="0"/>
    <n v="0"/>
    <n v="0"/>
    <n v="1"/>
    <n v="1"/>
    <n v="0"/>
    <m/>
    <n v="49.2"/>
  </r>
  <r>
    <s v="USR-101001"/>
    <d v="2025-05-14T00:00:00"/>
    <x v="1"/>
    <x v="3"/>
    <x v="1"/>
    <x v="3"/>
    <s v="Free"/>
    <n v="0"/>
    <n v="0"/>
    <n v="0"/>
    <n v="0"/>
    <n v="0"/>
    <n v="0"/>
    <n v="0"/>
    <n v="0"/>
    <m/>
    <n v="52.2"/>
  </r>
  <r>
    <s v="USR-101002"/>
    <d v="2025-03-10T00:00:00"/>
    <x v="1"/>
    <x v="2"/>
    <x v="1"/>
    <x v="2"/>
    <s v="Basic"/>
    <n v="0"/>
    <n v="0"/>
    <n v="0"/>
    <n v="0"/>
    <n v="0"/>
    <n v="1"/>
    <n v="1"/>
    <n v="0"/>
    <m/>
    <n v="62.6"/>
  </r>
  <r>
    <s v="USR-101003"/>
    <d v="2025-04-09T00:00:00"/>
    <x v="1"/>
    <x v="2"/>
    <x v="0"/>
    <x v="2"/>
    <s v="Free"/>
    <n v="1"/>
    <n v="1"/>
    <n v="0"/>
    <n v="0"/>
    <n v="0"/>
    <n v="0"/>
    <n v="0"/>
    <n v="0"/>
    <m/>
    <n v="100"/>
  </r>
  <r>
    <s v="USR-101004"/>
    <d v="2025-02-13T00:00:00"/>
    <x v="1"/>
    <x v="0"/>
    <x v="1"/>
    <x v="3"/>
    <s v="Basic"/>
    <n v="1"/>
    <n v="1"/>
    <n v="1"/>
    <n v="0"/>
    <n v="0"/>
    <n v="2"/>
    <n v="1"/>
    <n v="0"/>
    <m/>
    <n v="45.9"/>
  </r>
  <r>
    <s v="USR-101005"/>
    <d v="2025-05-03T00:00:00"/>
    <x v="1"/>
    <x v="2"/>
    <x v="1"/>
    <x v="0"/>
    <s v="Free"/>
    <n v="1"/>
    <n v="1"/>
    <n v="1"/>
    <n v="0"/>
    <n v="0"/>
    <n v="0"/>
    <n v="0"/>
    <n v="0"/>
    <m/>
    <n v="80.7"/>
  </r>
  <r>
    <s v="USR-101006"/>
    <d v="2025-04-16T00:00:00"/>
    <x v="1"/>
    <x v="3"/>
    <x v="0"/>
    <x v="3"/>
    <s v="Premium"/>
    <n v="1"/>
    <n v="0"/>
    <n v="0"/>
    <n v="0"/>
    <n v="0"/>
    <n v="0"/>
    <n v="0"/>
    <n v="0"/>
    <m/>
    <n v="51.9"/>
  </r>
  <r>
    <s v="USR-101007"/>
    <d v="2025-04-30T00:00:00"/>
    <x v="1"/>
    <x v="0"/>
    <x v="1"/>
    <x v="2"/>
    <s v="Premium"/>
    <n v="1"/>
    <n v="0"/>
    <n v="0"/>
    <n v="0"/>
    <n v="0"/>
    <n v="0"/>
    <n v="0"/>
    <n v="0"/>
    <m/>
    <n v="68.900000000000006"/>
  </r>
  <r>
    <s v="USR-101008"/>
    <d v="2025-02-18T00:00:00"/>
    <x v="1"/>
    <x v="1"/>
    <x v="0"/>
    <x v="1"/>
    <s v="Free"/>
    <n v="1"/>
    <n v="0"/>
    <n v="0"/>
    <n v="0"/>
    <n v="0"/>
    <n v="0"/>
    <n v="0"/>
    <n v="0"/>
    <m/>
    <n v="66"/>
  </r>
  <r>
    <s v="USR-101009"/>
    <d v="2025-05-22T00:00:00"/>
    <x v="1"/>
    <x v="1"/>
    <x v="0"/>
    <x v="3"/>
    <s v="Basic"/>
    <n v="0"/>
    <n v="0"/>
    <n v="0"/>
    <n v="0"/>
    <n v="0"/>
    <n v="0"/>
    <n v="0"/>
    <n v="0"/>
    <m/>
    <n v="63.1"/>
  </r>
  <r>
    <s v="USR-101010"/>
    <d v="2025-05-21T00:00:00"/>
    <x v="1"/>
    <x v="3"/>
    <x v="0"/>
    <x v="1"/>
    <s v="Free"/>
    <n v="0"/>
    <n v="0"/>
    <n v="0"/>
    <n v="0"/>
    <n v="0"/>
    <n v="0"/>
    <n v="0"/>
    <n v="0"/>
    <m/>
    <n v="56"/>
  </r>
  <r>
    <s v="USR-101011"/>
    <d v="2025-04-10T00:00:00"/>
    <x v="1"/>
    <x v="2"/>
    <x v="0"/>
    <x v="1"/>
    <s v="Free"/>
    <n v="1"/>
    <n v="0"/>
    <n v="0"/>
    <n v="0"/>
    <n v="0"/>
    <n v="1"/>
    <n v="1"/>
    <n v="0"/>
    <m/>
    <n v="65.7"/>
  </r>
  <r>
    <s v="USR-101012"/>
    <d v="2025-01-07T00:00:00"/>
    <x v="1"/>
    <x v="0"/>
    <x v="0"/>
    <x v="1"/>
    <s v="Premium"/>
    <n v="1"/>
    <n v="1"/>
    <n v="1"/>
    <n v="1"/>
    <n v="1938.31"/>
    <n v="1"/>
    <n v="1"/>
    <n v="0"/>
    <n v="9"/>
    <n v="60.9"/>
  </r>
  <r>
    <s v="USR-101013"/>
    <d v="2025-02-03T00:00:00"/>
    <x v="1"/>
    <x v="3"/>
    <x v="0"/>
    <x v="4"/>
    <s v="Free"/>
    <n v="0"/>
    <n v="0"/>
    <n v="0"/>
    <n v="0"/>
    <n v="0"/>
    <n v="0"/>
    <n v="0"/>
    <n v="0"/>
    <m/>
    <n v="45.5"/>
  </r>
  <r>
    <s v="USR-101014"/>
    <d v="2025-05-18T00:00:00"/>
    <x v="1"/>
    <x v="0"/>
    <x v="1"/>
    <x v="2"/>
    <s v="Free"/>
    <n v="1"/>
    <n v="0"/>
    <n v="0"/>
    <n v="0"/>
    <n v="0"/>
    <n v="0"/>
    <n v="0"/>
    <n v="0"/>
    <m/>
    <n v="50"/>
  </r>
  <r>
    <s v="USR-101015"/>
    <d v="2025-01-31T00:00:00"/>
    <x v="1"/>
    <x v="0"/>
    <x v="1"/>
    <x v="3"/>
    <s v="Free"/>
    <n v="1"/>
    <n v="0"/>
    <n v="0"/>
    <n v="0"/>
    <n v="0"/>
    <n v="0"/>
    <n v="0"/>
    <n v="0"/>
    <m/>
    <n v="72.099999999999994"/>
  </r>
  <r>
    <s v="USR-101016"/>
    <d v="2025-01-16T00:00:00"/>
    <x v="1"/>
    <x v="3"/>
    <x v="0"/>
    <x v="1"/>
    <s v="Basic"/>
    <n v="1"/>
    <n v="0"/>
    <n v="0"/>
    <n v="0"/>
    <n v="0"/>
    <n v="0"/>
    <n v="0"/>
    <n v="0"/>
    <m/>
    <n v="76.3"/>
  </r>
  <r>
    <s v="USR-101017"/>
    <d v="2025-05-14T00:00:00"/>
    <x v="1"/>
    <x v="2"/>
    <x v="1"/>
    <x v="2"/>
    <s v="Basic"/>
    <n v="1"/>
    <n v="1"/>
    <n v="0"/>
    <n v="0"/>
    <n v="0"/>
    <n v="1"/>
    <n v="1"/>
    <n v="0"/>
    <m/>
    <n v="54.8"/>
  </r>
  <r>
    <s v="USR-101018"/>
    <d v="2025-04-01T00:00:00"/>
    <x v="1"/>
    <x v="3"/>
    <x v="1"/>
    <x v="5"/>
    <s v="Basic"/>
    <n v="1"/>
    <n v="0"/>
    <n v="0"/>
    <n v="0"/>
    <n v="0"/>
    <n v="0"/>
    <n v="0"/>
    <n v="0"/>
    <m/>
    <n v="63.6"/>
  </r>
  <r>
    <s v="USR-101019"/>
    <d v="2025-04-23T00:00:00"/>
    <x v="1"/>
    <x v="3"/>
    <x v="1"/>
    <x v="1"/>
    <s v="Free"/>
    <n v="1"/>
    <n v="0"/>
    <n v="0"/>
    <n v="0"/>
    <n v="0"/>
    <n v="0"/>
    <n v="0"/>
    <n v="0"/>
    <m/>
    <n v="68.8"/>
  </r>
  <r>
    <s v="USR-101020"/>
    <d v="2025-03-02T00:00:00"/>
    <x v="1"/>
    <x v="3"/>
    <x v="0"/>
    <x v="2"/>
    <s v="Basic"/>
    <n v="1"/>
    <n v="0"/>
    <n v="0"/>
    <n v="0"/>
    <n v="0"/>
    <n v="0"/>
    <n v="0"/>
    <n v="0"/>
    <m/>
    <n v="63.2"/>
  </r>
  <r>
    <s v="USR-101021"/>
    <d v="2025-01-02T00:00:00"/>
    <x v="1"/>
    <x v="2"/>
    <x v="1"/>
    <x v="2"/>
    <s v="Basic"/>
    <n v="0"/>
    <n v="0"/>
    <n v="0"/>
    <n v="0"/>
    <n v="0"/>
    <n v="0"/>
    <n v="0"/>
    <n v="0"/>
    <m/>
    <n v="45"/>
  </r>
  <r>
    <s v="USR-101022"/>
    <d v="2025-05-04T00:00:00"/>
    <x v="1"/>
    <x v="3"/>
    <x v="1"/>
    <x v="1"/>
    <s v="Free"/>
    <n v="1"/>
    <n v="0"/>
    <n v="0"/>
    <n v="0"/>
    <n v="0"/>
    <n v="0"/>
    <n v="0"/>
    <n v="0"/>
    <m/>
    <n v="77.400000000000006"/>
  </r>
  <r>
    <s v="USR-101023"/>
    <d v="2025-01-16T00:00:00"/>
    <x v="1"/>
    <x v="2"/>
    <x v="0"/>
    <x v="2"/>
    <s v="Basic"/>
    <n v="0"/>
    <n v="0"/>
    <n v="0"/>
    <n v="0"/>
    <n v="0"/>
    <n v="0"/>
    <n v="0"/>
    <n v="0"/>
    <m/>
    <n v="53.1"/>
  </r>
  <r>
    <s v="USR-101024"/>
    <d v="2025-02-11T00:00:00"/>
    <x v="1"/>
    <x v="1"/>
    <x v="2"/>
    <x v="2"/>
    <s v="Premium"/>
    <n v="0"/>
    <n v="0"/>
    <n v="0"/>
    <n v="0"/>
    <n v="0"/>
    <n v="0"/>
    <n v="0"/>
    <n v="0"/>
    <m/>
    <n v="74"/>
  </r>
  <r>
    <s v="USR-101025"/>
    <d v="2025-04-03T00:00:00"/>
    <x v="1"/>
    <x v="0"/>
    <x v="1"/>
    <x v="4"/>
    <s v="Premium"/>
    <n v="1"/>
    <n v="1"/>
    <n v="1"/>
    <n v="1"/>
    <n v="1906.23"/>
    <n v="0"/>
    <n v="0"/>
    <n v="0"/>
    <n v="4"/>
    <n v="84.6"/>
  </r>
  <r>
    <s v="USR-101026"/>
    <d v="2025-03-26T00:00:00"/>
    <x v="1"/>
    <x v="2"/>
    <x v="1"/>
    <x v="3"/>
    <s v="Free"/>
    <n v="1"/>
    <n v="0"/>
    <n v="0"/>
    <n v="0"/>
    <n v="0"/>
    <n v="0"/>
    <n v="0"/>
    <n v="0"/>
    <m/>
    <n v="57"/>
  </r>
  <r>
    <s v="USR-101027"/>
    <d v="2025-05-16T00:00:00"/>
    <x v="1"/>
    <x v="3"/>
    <x v="1"/>
    <x v="0"/>
    <s v="Premium"/>
    <n v="0"/>
    <n v="0"/>
    <n v="0"/>
    <n v="0"/>
    <n v="0"/>
    <n v="0"/>
    <n v="0"/>
    <n v="0"/>
    <m/>
    <n v="46.3"/>
  </r>
  <r>
    <s v="USR-101028"/>
    <d v="2025-04-20T00:00:00"/>
    <x v="1"/>
    <x v="1"/>
    <x v="1"/>
    <x v="4"/>
    <s v="Free"/>
    <n v="0"/>
    <n v="0"/>
    <n v="0"/>
    <n v="0"/>
    <n v="0"/>
    <n v="1"/>
    <n v="1"/>
    <n v="0"/>
    <m/>
    <n v="64.400000000000006"/>
  </r>
  <r>
    <s v="USR-101029"/>
    <d v="2025-04-15T00:00:00"/>
    <x v="1"/>
    <x v="1"/>
    <x v="1"/>
    <x v="2"/>
    <s v="Free"/>
    <n v="1"/>
    <n v="0"/>
    <n v="0"/>
    <n v="0"/>
    <n v="0"/>
    <n v="2"/>
    <n v="1"/>
    <n v="0"/>
    <m/>
    <n v="61.9"/>
  </r>
  <r>
    <s v="USR-101030"/>
    <d v="2025-01-24T00:00:00"/>
    <x v="1"/>
    <x v="0"/>
    <x v="1"/>
    <x v="1"/>
    <s v="Premium"/>
    <n v="1"/>
    <n v="1"/>
    <n v="1"/>
    <n v="0"/>
    <n v="0"/>
    <n v="0"/>
    <n v="0"/>
    <n v="0"/>
    <m/>
    <n v="93.7"/>
  </r>
  <r>
    <s v="USR-101031"/>
    <d v="2025-04-11T00:00:00"/>
    <x v="1"/>
    <x v="3"/>
    <x v="1"/>
    <x v="3"/>
    <s v="Basic"/>
    <n v="0"/>
    <n v="0"/>
    <n v="0"/>
    <n v="0"/>
    <n v="0"/>
    <n v="0"/>
    <n v="0"/>
    <n v="0"/>
    <m/>
    <n v="61.6"/>
  </r>
  <r>
    <s v="USR-101032"/>
    <d v="2025-05-19T00:00:00"/>
    <x v="1"/>
    <x v="0"/>
    <x v="1"/>
    <x v="2"/>
    <s v="Free"/>
    <n v="1"/>
    <n v="0"/>
    <n v="0"/>
    <n v="0"/>
    <n v="0"/>
    <n v="0"/>
    <n v="0"/>
    <n v="0"/>
    <m/>
    <n v="72.2"/>
  </r>
  <r>
    <s v="USR-101033"/>
    <d v="2025-01-14T00:00:00"/>
    <x v="1"/>
    <x v="0"/>
    <x v="1"/>
    <x v="1"/>
    <s v="Basic"/>
    <n v="0"/>
    <n v="0"/>
    <n v="0"/>
    <n v="0"/>
    <n v="0"/>
    <n v="0"/>
    <n v="0"/>
    <n v="0"/>
    <m/>
    <n v="69.5"/>
  </r>
  <r>
    <s v="USR-101034"/>
    <d v="2025-02-28T00:00:00"/>
    <x v="1"/>
    <x v="2"/>
    <x v="0"/>
    <x v="1"/>
    <s v="Basic"/>
    <n v="0"/>
    <n v="0"/>
    <n v="0"/>
    <n v="0"/>
    <n v="0"/>
    <n v="0"/>
    <n v="0"/>
    <n v="0"/>
    <m/>
    <n v="59.7"/>
  </r>
  <r>
    <s v="USR-101035"/>
    <d v="2025-05-18T00:00:00"/>
    <x v="1"/>
    <x v="2"/>
    <x v="2"/>
    <x v="2"/>
    <s v="Basic"/>
    <n v="1"/>
    <n v="0"/>
    <n v="0"/>
    <n v="0"/>
    <n v="0"/>
    <n v="0"/>
    <n v="0"/>
    <n v="0"/>
    <m/>
    <n v="73.900000000000006"/>
  </r>
  <r>
    <s v="USR-101036"/>
    <d v="2025-01-04T00:00:00"/>
    <x v="1"/>
    <x v="0"/>
    <x v="1"/>
    <x v="4"/>
    <s v="Free"/>
    <n v="0"/>
    <n v="0"/>
    <n v="0"/>
    <n v="0"/>
    <n v="0"/>
    <n v="0"/>
    <n v="0"/>
    <n v="0"/>
    <m/>
    <n v="41.5"/>
  </r>
  <r>
    <s v="USR-101037"/>
    <d v="2025-01-16T00:00:00"/>
    <x v="1"/>
    <x v="1"/>
    <x v="1"/>
    <x v="4"/>
    <s v="Premium"/>
    <n v="1"/>
    <n v="0"/>
    <n v="0"/>
    <n v="0"/>
    <n v="0"/>
    <n v="0"/>
    <n v="0"/>
    <n v="0"/>
    <m/>
    <n v="82.8"/>
  </r>
  <r>
    <s v="USR-101038"/>
    <d v="2025-03-14T00:00:00"/>
    <x v="1"/>
    <x v="1"/>
    <x v="1"/>
    <x v="4"/>
    <s v="Premium"/>
    <n v="1"/>
    <n v="0"/>
    <n v="0"/>
    <n v="0"/>
    <n v="0"/>
    <n v="3"/>
    <n v="1"/>
    <n v="0"/>
    <m/>
    <n v="70.2"/>
  </r>
  <r>
    <s v="USR-101039"/>
    <d v="2025-01-23T00:00:00"/>
    <x v="1"/>
    <x v="2"/>
    <x v="1"/>
    <x v="2"/>
    <s v="Basic"/>
    <n v="1"/>
    <n v="0"/>
    <n v="0"/>
    <n v="0"/>
    <n v="0"/>
    <n v="1"/>
    <n v="1"/>
    <n v="0"/>
    <m/>
    <n v="69.400000000000006"/>
  </r>
  <r>
    <s v="USR-101040"/>
    <d v="2025-02-03T00:00:00"/>
    <x v="1"/>
    <x v="0"/>
    <x v="0"/>
    <x v="1"/>
    <s v="Basic"/>
    <n v="1"/>
    <n v="0"/>
    <n v="0"/>
    <n v="0"/>
    <n v="0"/>
    <n v="0"/>
    <n v="0"/>
    <n v="0"/>
    <m/>
    <n v="60.4"/>
  </r>
  <r>
    <s v="USR-101041"/>
    <d v="2025-05-16T00:00:00"/>
    <x v="1"/>
    <x v="2"/>
    <x v="1"/>
    <x v="3"/>
    <s v="Free"/>
    <n v="1"/>
    <n v="0"/>
    <n v="0"/>
    <n v="0"/>
    <n v="0"/>
    <n v="0"/>
    <n v="0"/>
    <n v="0"/>
    <m/>
    <n v="45.7"/>
  </r>
  <r>
    <s v="USR-101042"/>
    <d v="2025-01-11T00:00:00"/>
    <x v="1"/>
    <x v="1"/>
    <x v="1"/>
    <x v="1"/>
    <s v="Basic"/>
    <n v="0"/>
    <n v="0"/>
    <n v="0"/>
    <n v="0"/>
    <n v="0"/>
    <n v="1"/>
    <n v="1"/>
    <n v="0"/>
    <m/>
    <n v="42.2"/>
  </r>
  <r>
    <s v="USR-101043"/>
    <d v="2025-05-25T00:00:00"/>
    <x v="1"/>
    <x v="0"/>
    <x v="0"/>
    <x v="1"/>
    <s v="Free"/>
    <n v="0"/>
    <n v="0"/>
    <n v="0"/>
    <n v="0"/>
    <n v="0"/>
    <n v="2"/>
    <n v="1"/>
    <n v="0"/>
    <m/>
    <n v="61.9"/>
  </r>
  <r>
    <s v="USR-101044"/>
    <d v="2025-05-08T00:00:00"/>
    <x v="1"/>
    <x v="2"/>
    <x v="1"/>
    <x v="2"/>
    <s v="Premium"/>
    <n v="0"/>
    <n v="0"/>
    <n v="0"/>
    <n v="0"/>
    <n v="0"/>
    <n v="0"/>
    <n v="0"/>
    <n v="0"/>
    <m/>
    <n v="44.9"/>
  </r>
  <r>
    <s v="USR-101045"/>
    <d v="2025-02-26T00:00:00"/>
    <x v="1"/>
    <x v="2"/>
    <x v="0"/>
    <x v="5"/>
    <s v="Basic"/>
    <n v="1"/>
    <n v="0"/>
    <n v="0"/>
    <n v="0"/>
    <n v="0"/>
    <n v="0"/>
    <n v="0"/>
    <n v="0"/>
    <m/>
    <n v="68"/>
  </r>
  <r>
    <s v="USR-101046"/>
    <d v="2025-03-30T00:00:00"/>
    <x v="1"/>
    <x v="0"/>
    <x v="1"/>
    <x v="2"/>
    <s v="Free"/>
    <n v="1"/>
    <n v="0"/>
    <n v="0"/>
    <n v="0"/>
    <n v="0"/>
    <n v="0"/>
    <n v="0"/>
    <n v="0"/>
    <m/>
    <n v="61"/>
  </r>
  <r>
    <s v="USR-101047"/>
    <d v="2025-04-13T00:00:00"/>
    <x v="1"/>
    <x v="1"/>
    <x v="1"/>
    <x v="1"/>
    <s v="Basic"/>
    <n v="1"/>
    <n v="0"/>
    <n v="0"/>
    <n v="0"/>
    <n v="0"/>
    <n v="0"/>
    <n v="0"/>
    <n v="0"/>
    <m/>
    <n v="55"/>
  </r>
  <r>
    <s v="USR-101048"/>
    <d v="2025-02-20T00:00:00"/>
    <x v="1"/>
    <x v="2"/>
    <x v="3"/>
    <x v="2"/>
    <s v="Basic"/>
    <n v="1"/>
    <n v="0"/>
    <n v="0"/>
    <n v="0"/>
    <n v="0"/>
    <n v="0"/>
    <n v="0"/>
    <n v="0"/>
    <m/>
    <n v="63.1"/>
  </r>
  <r>
    <s v="USR-101049"/>
    <d v="2025-04-19T00:00:00"/>
    <x v="1"/>
    <x v="1"/>
    <x v="0"/>
    <x v="4"/>
    <s v="Free"/>
    <n v="1"/>
    <n v="0"/>
    <n v="0"/>
    <n v="0"/>
    <n v="0"/>
    <n v="0"/>
    <n v="0"/>
    <n v="0"/>
    <m/>
    <n v="75.8"/>
  </r>
  <r>
    <s v="USR-101050"/>
    <d v="2025-03-22T00:00:00"/>
    <x v="1"/>
    <x v="3"/>
    <x v="1"/>
    <x v="2"/>
    <s v="Free"/>
    <n v="1"/>
    <n v="1"/>
    <n v="0"/>
    <n v="0"/>
    <n v="0"/>
    <n v="1"/>
    <n v="1"/>
    <n v="0"/>
    <m/>
    <n v="43.8"/>
  </r>
  <r>
    <s v="USR-101051"/>
    <d v="2025-02-28T00:00:00"/>
    <x v="1"/>
    <x v="0"/>
    <x v="1"/>
    <x v="0"/>
    <s v="Basic"/>
    <n v="1"/>
    <n v="1"/>
    <n v="0"/>
    <n v="0"/>
    <n v="0"/>
    <n v="0"/>
    <n v="0"/>
    <n v="0"/>
    <m/>
    <n v="46.8"/>
  </r>
  <r>
    <s v="USR-101052"/>
    <d v="2025-05-24T00:00:00"/>
    <x v="1"/>
    <x v="2"/>
    <x v="1"/>
    <x v="4"/>
    <s v="Free"/>
    <n v="1"/>
    <n v="1"/>
    <n v="1"/>
    <n v="0"/>
    <n v="0"/>
    <n v="0"/>
    <n v="0"/>
    <n v="0"/>
    <m/>
    <n v="97.4"/>
  </r>
  <r>
    <s v="USR-101053"/>
    <d v="2025-02-03T00:00:00"/>
    <x v="1"/>
    <x v="0"/>
    <x v="0"/>
    <x v="0"/>
    <s v="Free"/>
    <n v="1"/>
    <n v="1"/>
    <n v="1"/>
    <n v="1"/>
    <n v="268.95999999999998"/>
    <n v="0"/>
    <n v="0"/>
    <n v="0"/>
    <n v="14"/>
    <n v="81"/>
  </r>
  <r>
    <s v="USR-101054"/>
    <d v="2025-01-27T00:00:00"/>
    <x v="1"/>
    <x v="3"/>
    <x v="1"/>
    <x v="1"/>
    <s v="Free"/>
    <n v="1"/>
    <n v="0"/>
    <n v="0"/>
    <n v="0"/>
    <n v="0"/>
    <n v="1"/>
    <n v="1"/>
    <n v="0"/>
    <m/>
    <n v="58.9"/>
  </r>
  <r>
    <s v="USR-101055"/>
    <d v="2025-04-17T00:00:00"/>
    <x v="1"/>
    <x v="2"/>
    <x v="1"/>
    <x v="1"/>
    <s v="Free"/>
    <n v="1"/>
    <n v="0"/>
    <n v="0"/>
    <n v="0"/>
    <n v="0"/>
    <n v="0"/>
    <n v="0"/>
    <n v="0"/>
    <m/>
    <n v="51.9"/>
  </r>
  <r>
    <s v="USR-101056"/>
    <d v="2025-02-06T00:00:00"/>
    <x v="1"/>
    <x v="1"/>
    <x v="1"/>
    <x v="4"/>
    <s v="Free"/>
    <n v="1"/>
    <n v="1"/>
    <n v="0"/>
    <n v="0"/>
    <n v="0"/>
    <n v="0"/>
    <n v="0"/>
    <n v="0"/>
    <m/>
    <n v="61.7"/>
  </r>
  <r>
    <s v="USR-101057"/>
    <d v="2025-04-20T00:00:00"/>
    <x v="1"/>
    <x v="3"/>
    <x v="1"/>
    <x v="2"/>
    <s v="Free"/>
    <n v="1"/>
    <n v="0"/>
    <n v="0"/>
    <n v="0"/>
    <n v="0"/>
    <n v="0"/>
    <n v="0"/>
    <n v="0"/>
    <m/>
    <n v="44.7"/>
  </r>
  <r>
    <s v="USR-101058"/>
    <d v="2025-05-06T00:00:00"/>
    <x v="1"/>
    <x v="0"/>
    <x v="1"/>
    <x v="2"/>
    <s v="Basic"/>
    <n v="0"/>
    <n v="0"/>
    <n v="0"/>
    <n v="0"/>
    <n v="0"/>
    <n v="0"/>
    <n v="0"/>
    <n v="0"/>
    <m/>
    <n v="63.2"/>
  </r>
  <r>
    <s v="USR-101059"/>
    <d v="2025-05-16T00:00:00"/>
    <x v="1"/>
    <x v="3"/>
    <x v="1"/>
    <x v="1"/>
    <s v="Free"/>
    <n v="1"/>
    <n v="0"/>
    <n v="0"/>
    <n v="0"/>
    <n v="0"/>
    <n v="0"/>
    <n v="0"/>
    <n v="0"/>
    <m/>
    <n v="70.3"/>
  </r>
  <r>
    <s v="USR-101060"/>
    <d v="2025-03-02T00:00:00"/>
    <x v="1"/>
    <x v="3"/>
    <x v="1"/>
    <x v="2"/>
    <s v="Premium"/>
    <n v="1"/>
    <n v="1"/>
    <n v="0"/>
    <n v="0"/>
    <n v="0"/>
    <n v="1"/>
    <n v="1"/>
    <n v="0"/>
    <m/>
    <n v="83.1"/>
  </r>
  <r>
    <s v="USR-101061"/>
    <d v="2025-04-09T00:00:00"/>
    <x v="1"/>
    <x v="1"/>
    <x v="1"/>
    <x v="4"/>
    <s v="Free"/>
    <n v="0"/>
    <n v="0"/>
    <n v="0"/>
    <n v="0"/>
    <n v="0"/>
    <n v="0"/>
    <n v="0"/>
    <n v="0"/>
    <m/>
    <n v="50.3"/>
  </r>
  <r>
    <s v="USR-101062"/>
    <d v="2025-01-26T00:00:00"/>
    <x v="1"/>
    <x v="2"/>
    <x v="1"/>
    <x v="2"/>
    <s v="Free"/>
    <n v="1"/>
    <n v="1"/>
    <n v="1"/>
    <n v="1"/>
    <n v="437.09"/>
    <n v="2"/>
    <n v="1"/>
    <n v="1"/>
    <n v="1"/>
    <n v="58.2"/>
  </r>
  <r>
    <s v="USR-101063"/>
    <d v="2025-02-25T00:00:00"/>
    <x v="1"/>
    <x v="3"/>
    <x v="1"/>
    <x v="2"/>
    <s v="Basic"/>
    <n v="1"/>
    <n v="1"/>
    <n v="1"/>
    <n v="0"/>
    <n v="0"/>
    <n v="0"/>
    <n v="0"/>
    <n v="0"/>
    <m/>
    <n v="53.2"/>
  </r>
  <r>
    <s v="USR-101064"/>
    <d v="2025-01-07T00:00:00"/>
    <x v="1"/>
    <x v="2"/>
    <x v="1"/>
    <x v="1"/>
    <s v="Premium"/>
    <n v="0"/>
    <n v="0"/>
    <n v="0"/>
    <n v="0"/>
    <n v="0"/>
    <n v="0"/>
    <n v="0"/>
    <n v="0"/>
    <m/>
    <n v="36.4"/>
  </r>
  <r>
    <s v="USR-101065"/>
    <d v="2025-03-08T00:00:00"/>
    <x v="1"/>
    <x v="3"/>
    <x v="1"/>
    <x v="4"/>
    <s v="Basic"/>
    <n v="1"/>
    <n v="1"/>
    <n v="1"/>
    <n v="0"/>
    <n v="0"/>
    <n v="0"/>
    <n v="0"/>
    <n v="0"/>
    <m/>
    <n v="72.7"/>
  </r>
  <r>
    <s v="USR-101066"/>
    <d v="2025-05-22T00:00:00"/>
    <x v="1"/>
    <x v="2"/>
    <x v="1"/>
    <x v="3"/>
    <s v="Free"/>
    <n v="1"/>
    <n v="0"/>
    <n v="0"/>
    <n v="0"/>
    <n v="0"/>
    <n v="1"/>
    <n v="1"/>
    <n v="0"/>
    <m/>
    <n v="86.7"/>
  </r>
  <r>
    <s v="USR-101067"/>
    <d v="2025-04-18T00:00:00"/>
    <x v="1"/>
    <x v="2"/>
    <x v="1"/>
    <x v="2"/>
    <s v="Premium"/>
    <n v="1"/>
    <n v="0"/>
    <n v="0"/>
    <n v="0"/>
    <n v="0"/>
    <n v="0"/>
    <n v="0"/>
    <n v="0"/>
    <m/>
    <n v="48.2"/>
  </r>
  <r>
    <s v="USR-101068"/>
    <d v="2025-02-24T00:00:00"/>
    <x v="1"/>
    <x v="1"/>
    <x v="1"/>
    <x v="3"/>
    <s v="Basic"/>
    <n v="0"/>
    <n v="0"/>
    <n v="0"/>
    <n v="0"/>
    <n v="0"/>
    <n v="1"/>
    <n v="1"/>
    <n v="0"/>
    <m/>
    <n v="57.6"/>
  </r>
  <r>
    <s v="USR-101069"/>
    <d v="2025-02-11T00:00:00"/>
    <x v="1"/>
    <x v="0"/>
    <x v="1"/>
    <x v="1"/>
    <s v="Free"/>
    <n v="1"/>
    <n v="1"/>
    <n v="1"/>
    <n v="0"/>
    <n v="0"/>
    <n v="0"/>
    <n v="0"/>
    <n v="0"/>
    <m/>
    <n v="75.7"/>
  </r>
  <r>
    <s v="USR-101070"/>
    <d v="2025-03-11T00:00:00"/>
    <x v="1"/>
    <x v="1"/>
    <x v="0"/>
    <x v="2"/>
    <s v="Free"/>
    <n v="1"/>
    <n v="0"/>
    <n v="0"/>
    <n v="0"/>
    <n v="0"/>
    <n v="2"/>
    <n v="1"/>
    <n v="0"/>
    <m/>
    <n v="48.6"/>
  </r>
  <r>
    <s v="USR-101071"/>
    <d v="2025-04-11T00:00:00"/>
    <x v="1"/>
    <x v="2"/>
    <x v="2"/>
    <x v="3"/>
    <s v="Free"/>
    <n v="1"/>
    <n v="1"/>
    <n v="1"/>
    <n v="0"/>
    <n v="0"/>
    <n v="0"/>
    <n v="0"/>
    <n v="0"/>
    <m/>
    <n v="72"/>
  </r>
  <r>
    <s v="USR-101072"/>
    <d v="2025-03-11T00:00:00"/>
    <x v="1"/>
    <x v="0"/>
    <x v="1"/>
    <x v="1"/>
    <s v="Free"/>
    <n v="0"/>
    <n v="0"/>
    <n v="0"/>
    <n v="0"/>
    <n v="0"/>
    <n v="0"/>
    <n v="0"/>
    <n v="0"/>
    <m/>
    <n v="72.2"/>
  </r>
  <r>
    <s v="USR-101073"/>
    <d v="2025-05-22T00:00:00"/>
    <x v="1"/>
    <x v="2"/>
    <x v="1"/>
    <x v="3"/>
    <s v="Free"/>
    <n v="1"/>
    <n v="0"/>
    <n v="0"/>
    <n v="0"/>
    <n v="0"/>
    <n v="1"/>
    <n v="1"/>
    <n v="0"/>
    <m/>
    <m/>
  </r>
  <r>
    <s v="USR-101074"/>
    <d v="2025-02-22T00:00:00"/>
    <x v="1"/>
    <x v="3"/>
    <x v="0"/>
    <x v="1"/>
    <s v="Free"/>
    <n v="1"/>
    <n v="1"/>
    <n v="1"/>
    <n v="1"/>
    <n v="331.53"/>
    <n v="2"/>
    <n v="1"/>
    <n v="0"/>
    <n v="4"/>
    <n v="56.8"/>
  </r>
  <r>
    <s v="USR-101075"/>
    <d v="2025-01-13T00:00:00"/>
    <x v="1"/>
    <x v="2"/>
    <x v="1"/>
    <x v="2"/>
    <s v="Basic"/>
    <n v="1"/>
    <n v="0"/>
    <n v="0"/>
    <n v="0"/>
    <n v="0"/>
    <n v="0"/>
    <n v="0"/>
    <n v="0"/>
    <m/>
    <n v="62.5"/>
  </r>
  <r>
    <s v="USR-101076"/>
    <d v="2025-05-19T00:00:00"/>
    <x v="1"/>
    <x v="3"/>
    <x v="1"/>
    <x v="1"/>
    <s v="Free"/>
    <n v="1"/>
    <n v="0"/>
    <n v="0"/>
    <n v="0"/>
    <n v="0"/>
    <n v="0"/>
    <n v="0"/>
    <n v="0"/>
    <m/>
    <n v="63.4"/>
  </r>
  <r>
    <s v="USR-101077"/>
    <d v="2025-03-08T00:00:00"/>
    <x v="1"/>
    <x v="0"/>
    <x v="2"/>
    <x v="1"/>
    <s v="Basic"/>
    <n v="1"/>
    <n v="1"/>
    <n v="1"/>
    <n v="1"/>
    <n v="774.78"/>
    <n v="0"/>
    <n v="0"/>
    <n v="0"/>
    <n v="3"/>
    <n v="46.8"/>
  </r>
  <r>
    <s v="USR-101078"/>
    <d v="2025-04-20T00:00:00"/>
    <x v="1"/>
    <x v="3"/>
    <x v="1"/>
    <x v="1"/>
    <s v="Free"/>
    <n v="1"/>
    <n v="1"/>
    <n v="1"/>
    <n v="1"/>
    <n v="422.02"/>
    <n v="0"/>
    <n v="0"/>
    <n v="0"/>
    <n v="8"/>
    <n v="86.5"/>
  </r>
  <r>
    <s v="USR-101079"/>
    <d v="2025-05-08T00:00:00"/>
    <x v="1"/>
    <x v="1"/>
    <x v="1"/>
    <x v="0"/>
    <s v="Basic"/>
    <n v="0"/>
    <n v="0"/>
    <n v="0"/>
    <n v="0"/>
    <n v="0"/>
    <n v="1"/>
    <n v="1"/>
    <n v="0"/>
    <m/>
    <n v="75.099999999999994"/>
  </r>
  <r>
    <s v="USR-101080"/>
    <d v="2025-05-10T00:00:00"/>
    <x v="1"/>
    <x v="3"/>
    <x v="1"/>
    <x v="1"/>
    <s v="Basic"/>
    <n v="1"/>
    <n v="0"/>
    <n v="0"/>
    <n v="0"/>
    <n v="0"/>
    <n v="0"/>
    <n v="0"/>
    <n v="0"/>
    <m/>
    <n v="64.5"/>
  </r>
  <r>
    <s v="USR-101081"/>
    <d v="2025-03-28T00:00:00"/>
    <x v="1"/>
    <x v="2"/>
    <x v="1"/>
    <x v="1"/>
    <s v="Free"/>
    <n v="1"/>
    <n v="0"/>
    <n v="0"/>
    <n v="0"/>
    <n v="0"/>
    <n v="0"/>
    <n v="0"/>
    <n v="0"/>
    <m/>
    <n v="54.2"/>
  </r>
  <r>
    <s v="USR-101082"/>
    <d v="2025-04-30T00:00:00"/>
    <x v="1"/>
    <x v="2"/>
    <x v="1"/>
    <x v="2"/>
    <s v="Premium"/>
    <n v="1"/>
    <n v="1"/>
    <n v="1"/>
    <n v="0"/>
    <n v="0"/>
    <n v="0"/>
    <n v="0"/>
    <n v="0"/>
    <m/>
    <n v="84.1"/>
  </r>
  <r>
    <s v="USR-101083"/>
    <d v="2025-02-08T00:00:00"/>
    <x v="1"/>
    <x v="0"/>
    <x v="1"/>
    <x v="1"/>
    <s v="Basic"/>
    <n v="0"/>
    <n v="0"/>
    <n v="0"/>
    <n v="0"/>
    <n v="0"/>
    <n v="1"/>
    <n v="1"/>
    <n v="0"/>
    <m/>
    <n v="49.1"/>
  </r>
  <r>
    <s v="USR-101084"/>
    <d v="2025-03-07T00:00:00"/>
    <x v="1"/>
    <x v="3"/>
    <x v="1"/>
    <x v="3"/>
    <s v="Premium"/>
    <n v="0"/>
    <n v="0"/>
    <n v="0"/>
    <n v="0"/>
    <n v="0"/>
    <n v="0"/>
    <n v="0"/>
    <n v="0"/>
    <m/>
    <n v="92.7"/>
  </r>
  <r>
    <s v="USR-101085"/>
    <d v="2025-05-21T00:00:00"/>
    <x v="1"/>
    <x v="3"/>
    <x v="1"/>
    <x v="4"/>
    <s v="Basic"/>
    <n v="1"/>
    <n v="1"/>
    <n v="1"/>
    <n v="0"/>
    <n v="0"/>
    <n v="1"/>
    <n v="1"/>
    <n v="0"/>
    <m/>
    <n v="58.7"/>
  </r>
  <r>
    <s v="USR-101086"/>
    <d v="2025-04-12T00:00:00"/>
    <x v="1"/>
    <x v="3"/>
    <x v="1"/>
    <x v="4"/>
    <s v="Free"/>
    <n v="1"/>
    <n v="1"/>
    <n v="1"/>
    <n v="0"/>
    <n v="0"/>
    <n v="0"/>
    <n v="0"/>
    <n v="0"/>
    <m/>
    <n v="59.3"/>
  </r>
  <r>
    <s v="USR-101087"/>
    <d v="2025-02-02T00:00:00"/>
    <x v="1"/>
    <x v="3"/>
    <x v="1"/>
    <x v="2"/>
    <s v="Free"/>
    <n v="1"/>
    <n v="0"/>
    <n v="0"/>
    <n v="0"/>
    <n v="0"/>
    <n v="0"/>
    <n v="0"/>
    <n v="0"/>
    <m/>
    <n v="62"/>
  </r>
  <r>
    <s v="USR-101088"/>
    <d v="2025-04-22T00:00:00"/>
    <x v="1"/>
    <x v="0"/>
    <x v="2"/>
    <x v="3"/>
    <s v="Free"/>
    <n v="1"/>
    <n v="1"/>
    <n v="1"/>
    <n v="0"/>
    <n v="0"/>
    <n v="1"/>
    <n v="1"/>
    <n v="0"/>
    <m/>
    <n v="60.3"/>
  </r>
  <r>
    <s v="USR-101089"/>
    <d v="2025-02-08T00:00:00"/>
    <x v="1"/>
    <x v="0"/>
    <x v="1"/>
    <x v="4"/>
    <s v="Basic"/>
    <n v="1"/>
    <n v="0"/>
    <n v="0"/>
    <n v="0"/>
    <n v="0"/>
    <n v="0"/>
    <n v="0"/>
    <n v="0"/>
    <m/>
    <n v="70.5"/>
  </r>
  <r>
    <s v="USR-101090"/>
    <d v="2025-01-24T00:00:00"/>
    <x v="1"/>
    <x v="3"/>
    <x v="0"/>
    <x v="0"/>
    <s v="Free"/>
    <n v="1"/>
    <n v="0"/>
    <n v="0"/>
    <n v="0"/>
    <n v="0"/>
    <n v="0"/>
    <n v="0"/>
    <n v="0"/>
    <m/>
    <n v="36.799999999999997"/>
  </r>
  <r>
    <s v="USR-101091"/>
    <d v="2025-05-12T00:00:00"/>
    <x v="1"/>
    <x v="3"/>
    <x v="1"/>
    <x v="2"/>
    <s v="Basic"/>
    <n v="0"/>
    <n v="0"/>
    <n v="0"/>
    <n v="0"/>
    <n v="0"/>
    <n v="1"/>
    <n v="1"/>
    <n v="0"/>
    <m/>
    <n v="73.2"/>
  </r>
  <r>
    <s v="USR-101092"/>
    <d v="2025-03-30T00:00:00"/>
    <x v="1"/>
    <x v="0"/>
    <x v="1"/>
    <x v="1"/>
    <s v="Basic"/>
    <n v="0"/>
    <n v="0"/>
    <n v="0"/>
    <n v="0"/>
    <n v="0"/>
    <n v="0"/>
    <n v="0"/>
    <n v="0"/>
    <m/>
    <n v="70.099999999999994"/>
  </r>
  <r>
    <s v="USR-101093"/>
    <d v="2025-01-02T00:00:00"/>
    <x v="1"/>
    <x v="3"/>
    <x v="0"/>
    <x v="2"/>
    <s v="Basic"/>
    <n v="1"/>
    <n v="0"/>
    <n v="0"/>
    <n v="0"/>
    <n v="0"/>
    <n v="0"/>
    <n v="0"/>
    <n v="0"/>
    <m/>
    <n v="76.400000000000006"/>
  </r>
  <r>
    <s v="USR-101094"/>
    <d v="2025-03-21T00:00:00"/>
    <x v="1"/>
    <x v="3"/>
    <x v="2"/>
    <x v="0"/>
    <s v="Basic"/>
    <n v="0"/>
    <n v="0"/>
    <n v="0"/>
    <n v="0"/>
    <n v="0"/>
    <n v="0"/>
    <n v="0"/>
    <n v="0"/>
    <m/>
    <n v="46.4"/>
  </r>
  <r>
    <s v="USR-101095"/>
    <d v="2025-01-25T00:00:00"/>
    <x v="1"/>
    <x v="1"/>
    <x v="1"/>
    <x v="1"/>
    <s v="Free"/>
    <n v="1"/>
    <n v="1"/>
    <n v="1"/>
    <n v="0"/>
    <n v="0"/>
    <n v="1"/>
    <n v="1"/>
    <n v="0"/>
    <m/>
    <n v="81.3"/>
  </r>
  <r>
    <s v="USR-101096"/>
    <d v="2025-01-12T00:00:00"/>
    <x v="1"/>
    <x v="3"/>
    <x v="2"/>
    <x v="4"/>
    <s v="Free"/>
    <n v="1"/>
    <n v="1"/>
    <n v="1"/>
    <n v="0"/>
    <n v="0"/>
    <n v="0"/>
    <n v="0"/>
    <n v="0"/>
    <m/>
    <n v="55.3"/>
  </r>
  <r>
    <s v="USR-101097"/>
    <d v="2025-03-18T00:00:00"/>
    <x v="1"/>
    <x v="2"/>
    <x v="0"/>
    <x v="3"/>
    <s v="Free"/>
    <n v="1"/>
    <n v="0"/>
    <n v="0"/>
    <n v="0"/>
    <n v="0"/>
    <n v="0"/>
    <n v="0"/>
    <n v="0"/>
    <m/>
    <n v="44.7"/>
  </r>
  <r>
    <s v="USR-101098"/>
    <d v="2025-03-26T00:00:00"/>
    <x v="1"/>
    <x v="2"/>
    <x v="1"/>
    <x v="2"/>
    <s v="Basic"/>
    <n v="1"/>
    <n v="0"/>
    <n v="0"/>
    <n v="0"/>
    <n v="0"/>
    <n v="0"/>
    <n v="0"/>
    <n v="0"/>
    <m/>
    <n v="67.2"/>
  </r>
  <r>
    <s v="USR-101099"/>
    <d v="2025-04-19T00:00:00"/>
    <x v="1"/>
    <x v="0"/>
    <x v="1"/>
    <x v="2"/>
    <s v="Basic"/>
    <n v="1"/>
    <n v="0"/>
    <n v="0"/>
    <n v="0"/>
    <n v="0"/>
    <n v="0"/>
    <n v="0"/>
    <n v="0"/>
    <m/>
    <m/>
  </r>
  <r>
    <s v="USR-101100"/>
    <d v="2025-04-17T00:00:00"/>
    <x v="1"/>
    <x v="2"/>
    <x v="1"/>
    <x v="1"/>
    <s v="Premium"/>
    <n v="1"/>
    <n v="1"/>
    <n v="1"/>
    <n v="0"/>
    <n v="0"/>
    <n v="1"/>
    <n v="1"/>
    <n v="0"/>
    <m/>
    <n v="70.8"/>
  </r>
  <r>
    <s v="USR-101101"/>
    <d v="2025-05-26T00:00:00"/>
    <x v="1"/>
    <x v="3"/>
    <x v="1"/>
    <x v="2"/>
    <s v="Free"/>
    <n v="1"/>
    <n v="0"/>
    <n v="0"/>
    <n v="0"/>
    <n v="0"/>
    <n v="0"/>
    <n v="0"/>
    <n v="0"/>
    <m/>
    <n v="71.3"/>
  </r>
  <r>
    <s v="USR-101102"/>
    <d v="2025-04-14T00:00:00"/>
    <x v="1"/>
    <x v="0"/>
    <x v="1"/>
    <x v="4"/>
    <s v="Premium"/>
    <n v="1"/>
    <n v="1"/>
    <n v="1"/>
    <n v="0"/>
    <n v="0"/>
    <n v="0"/>
    <n v="0"/>
    <n v="0"/>
    <m/>
    <n v="69.400000000000006"/>
  </r>
  <r>
    <s v="USR-101103"/>
    <d v="2025-01-23T00:00:00"/>
    <x v="1"/>
    <x v="3"/>
    <x v="1"/>
    <x v="1"/>
    <s v="Basic"/>
    <n v="1"/>
    <n v="1"/>
    <n v="0"/>
    <n v="0"/>
    <n v="0"/>
    <n v="0"/>
    <n v="0"/>
    <n v="0"/>
    <m/>
    <n v="58.9"/>
  </r>
  <r>
    <s v="USR-101104"/>
    <d v="2025-01-06T00:00:00"/>
    <x v="1"/>
    <x v="2"/>
    <x v="1"/>
    <x v="3"/>
    <s v="Free"/>
    <n v="0"/>
    <n v="0"/>
    <n v="0"/>
    <n v="0"/>
    <n v="0"/>
    <n v="0"/>
    <n v="0"/>
    <n v="0"/>
    <m/>
    <n v="70.7"/>
  </r>
  <r>
    <s v="USR-101105"/>
    <d v="2025-05-31T00:00:00"/>
    <x v="1"/>
    <x v="1"/>
    <x v="1"/>
    <x v="0"/>
    <s v="Basic"/>
    <n v="1"/>
    <n v="0"/>
    <n v="0"/>
    <n v="0"/>
    <n v="0"/>
    <n v="0"/>
    <n v="0"/>
    <n v="0"/>
    <m/>
    <n v="60.5"/>
  </r>
  <r>
    <s v="USR-101106"/>
    <d v="2025-05-19T00:00:00"/>
    <x v="1"/>
    <x v="0"/>
    <x v="1"/>
    <x v="1"/>
    <s v="Basic"/>
    <n v="1"/>
    <n v="1"/>
    <n v="1"/>
    <n v="0"/>
    <n v="0"/>
    <n v="0"/>
    <n v="0"/>
    <n v="0"/>
    <m/>
    <n v="77.3"/>
  </r>
  <r>
    <s v="USR-101107"/>
    <d v="2025-02-25T00:00:00"/>
    <x v="1"/>
    <x v="0"/>
    <x v="1"/>
    <x v="1"/>
    <s v="Free"/>
    <n v="0"/>
    <n v="0"/>
    <n v="0"/>
    <n v="0"/>
    <n v="0"/>
    <n v="1"/>
    <n v="1"/>
    <n v="0"/>
    <m/>
    <n v="39.5"/>
  </r>
  <r>
    <s v="USR-101108"/>
    <d v="2025-01-10T00:00:00"/>
    <x v="1"/>
    <x v="3"/>
    <x v="2"/>
    <x v="1"/>
    <s v="Basic"/>
    <n v="1"/>
    <n v="0"/>
    <n v="0"/>
    <n v="0"/>
    <n v="0"/>
    <n v="0"/>
    <n v="0"/>
    <n v="0"/>
    <m/>
    <n v="68.099999999999994"/>
  </r>
  <r>
    <s v="USR-101109"/>
    <d v="2025-05-13T00:00:00"/>
    <x v="1"/>
    <x v="0"/>
    <x v="2"/>
    <x v="2"/>
    <s v="Free"/>
    <n v="0"/>
    <n v="0"/>
    <n v="0"/>
    <n v="0"/>
    <n v="0"/>
    <n v="0"/>
    <n v="0"/>
    <n v="0"/>
    <m/>
    <n v="80.3"/>
  </r>
  <r>
    <s v="USR-101110"/>
    <d v="2025-04-27T00:00:00"/>
    <x v="1"/>
    <x v="1"/>
    <x v="0"/>
    <x v="1"/>
    <s v="Premium"/>
    <n v="1"/>
    <n v="0"/>
    <n v="0"/>
    <n v="0"/>
    <n v="0"/>
    <n v="0"/>
    <n v="0"/>
    <n v="0"/>
    <m/>
    <n v="77.7"/>
  </r>
  <r>
    <s v="USR-101111"/>
    <d v="2025-04-03T00:00:00"/>
    <x v="1"/>
    <x v="3"/>
    <x v="1"/>
    <x v="1"/>
    <s v="Free"/>
    <n v="1"/>
    <n v="0"/>
    <n v="0"/>
    <n v="0"/>
    <n v="0"/>
    <n v="1"/>
    <n v="1"/>
    <n v="0"/>
    <m/>
    <n v="66.2"/>
  </r>
  <r>
    <s v="USR-101112"/>
    <d v="2025-03-26T00:00:00"/>
    <x v="1"/>
    <x v="3"/>
    <x v="1"/>
    <x v="1"/>
    <s v="Free"/>
    <n v="1"/>
    <n v="1"/>
    <n v="1"/>
    <n v="0"/>
    <n v="0"/>
    <n v="1"/>
    <n v="1"/>
    <n v="0"/>
    <m/>
    <n v="43.9"/>
  </r>
  <r>
    <s v="USR-101113"/>
    <d v="2025-01-31T00:00:00"/>
    <x v="1"/>
    <x v="3"/>
    <x v="1"/>
    <x v="1"/>
    <s v="Basic"/>
    <n v="1"/>
    <n v="1"/>
    <n v="1"/>
    <n v="0"/>
    <n v="0"/>
    <n v="2"/>
    <n v="1"/>
    <n v="0"/>
    <m/>
    <n v="59.1"/>
  </r>
  <r>
    <s v="USR-101114"/>
    <d v="2025-01-25T00:00:00"/>
    <x v="1"/>
    <x v="3"/>
    <x v="1"/>
    <x v="4"/>
    <s v="Free"/>
    <n v="1"/>
    <n v="1"/>
    <n v="1"/>
    <n v="1"/>
    <n v="416.94"/>
    <n v="1"/>
    <n v="1"/>
    <n v="0"/>
    <n v="11"/>
    <n v="67"/>
  </r>
  <r>
    <s v="USR-101115"/>
    <d v="2025-02-06T00:00:00"/>
    <x v="1"/>
    <x v="1"/>
    <x v="1"/>
    <x v="3"/>
    <s v="Basic"/>
    <n v="1"/>
    <n v="0"/>
    <n v="0"/>
    <n v="0"/>
    <n v="0"/>
    <n v="0"/>
    <n v="0"/>
    <n v="0"/>
    <m/>
    <n v="47.9"/>
  </r>
  <r>
    <s v="USR-101116"/>
    <d v="2025-03-10T00:00:00"/>
    <x v="1"/>
    <x v="2"/>
    <x v="1"/>
    <x v="2"/>
    <s v="Free"/>
    <n v="1"/>
    <n v="1"/>
    <n v="0"/>
    <n v="0"/>
    <n v="0"/>
    <n v="0"/>
    <n v="0"/>
    <n v="0"/>
    <m/>
    <n v="41.5"/>
  </r>
  <r>
    <s v="USR-101117"/>
    <d v="2025-01-26T00:00:00"/>
    <x v="1"/>
    <x v="1"/>
    <x v="1"/>
    <x v="1"/>
    <s v="Basic"/>
    <n v="1"/>
    <n v="1"/>
    <n v="1"/>
    <n v="0"/>
    <n v="0"/>
    <n v="3"/>
    <n v="1"/>
    <n v="0"/>
    <m/>
    <n v="30.6"/>
  </r>
  <r>
    <s v="USR-101118"/>
    <d v="2025-01-01T00:00:00"/>
    <x v="1"/>
    <x v="2"/>
    <x v="1"/>
    <x v="2"/>
    <s v="Free"/>
    <n v="1"/>
    <n v="1"/>
    <n v="0"/>
    <n v="0"/>
    <n v="0"/>
    <n v="0"/>
    <n v="0"/>
    <n v="0"/>
    <m/>
    <n v="91.5"/>
  </r>
  <r>
    <s v="USR-101119"/>
    <d v="2025-04-28T00:00:00"/>
    <x v="1"/>
    <x v="0"/>
    <x v="0"/>
    <x v="4"/>
    <s v="Basic"/>
    <n v="1"/>
    <n v="0"/>
    <n v="0"/>
    <n v="0"/>
    <n v="0"/>
    <n v="0"/>
    <n v="0"/>
    <n v="0"/>
    <m/>
    <n v="80.8"/>
  </r>
  <r>
    <s v="USR-101120"/>
    <d v="2025-04-04T00:00:00"/>
    <x v="1"/>
    <x v="0"/>
    <x v="1"/>
    <x v="1"/>
    <s v="Premium"/>
    <n v="1"/>
    <n v="0"/>
    <n v="0"/>
    <n v="0"/>
    <n v="0"/>
    <n v="0"/>
    <n v="0"/>
    <n v="0"/>
    <m/>
    <n v="68.099999999999994"/>
  </r>
  <r>
    <s v="USR-101121"/>
    <d v="2025-03-02T00:00:00"/>
    <x v="1"/>
    <x v="2"/>
    <x v="1"/>
    <x v="2"/>
    <s v="Free"/>
    <n v="1"/>
    <n v="0"/>
    <n v="0"/>
    <n v="0"/>
    <n v="0"/>
    <n v="0"/>
    <n v="0"/>
    <n v="0"/>
    <m/>
    <n v="80.3"/>
  </r>
  <r>
    <s v="USR-101122"/>
    <d v="2025-03-19T00:00:00"/>
    <x v="1"/>
    <x v="3"/>
    <x v="2"/>
    <x v="1"/>
    <s v="Basic"/>
    <n v="1"/>
    <n v="0"/>
    <n v="0"/>
    <n v="0"/>
    <n v="0"/>
    <n v="0"/>
    <n v="0"/>
    <n v="0"/>
    <m/>
    <n v="44.4"/>
  </r>
  <r>
    <s v="USR-101123"/>
    <d v="2025-01-20T00:00:00"/>
    <x v="1"/>
    <x v="3"/>
    <x v="0"/>
    <x v="1"/>
    <s v="Basic"/>
    <n v="0"/>
    <n v="0"/>
    <n v="0"/>
    <n v="0"/>
    <n v="0"/>
    <n v="0"/>
    <n v="0"/>
    <n v="0"/>
    <m/>
    <n v="51.9"/>
  </r>
  <r>
    <s v="USR-101124"/>
    <d v="2025-04-03T00:00:00"/>
    <x v="1"/>
    <x v="2"/>
    <x v="1"/>
    <x v="2"/>
    <s v="Free"/>
    <n v="1"/>
    <n v="1"/>
    <n v="0"/>
    <n v="0"/>
    <n v="0"/>
    <n v="0"/>
    <n v="0"/>
    <n v="0"/>
    <m/>
    <n v="49.8"/>
  </r>
  <r>
    <s v="USR-101125"/>
    <d v="2025-01-11T00:00:00"/>
    <x v="1"/>
    <x v="2"/>
    <x v="0"/>
    <x v="4"/>
    <s v="Free"/>
    <n v="1"/>
    <n v="1"/>
    <n v="1"/>
    <n v="0"/>
    <n v="0"/>
    <n v="3"/>
    <n v="1"/>
    <n v="0"/>
    <m/>
    <n v="62.1"/>
  </r>
  <r>
    <s v="USR-101126"/>
    <d v="2025-02-02T00:00:00"/>
    <x v="1"/>
    <x v="1"/>
    <x v="0"/>
    <x v="4"/>
    <s v="Basic"/>
    <n v="1"/>
    <n v="0"/>
    <n v="0"/>
    <n v="0"/>
    <n v="0"/>
    <n v="0"/>
    <n v="0"/>
    <n v="0"/>
    <m/>
    <n v="91.3"/>
  </r>
  <r>
    <s v="USR-101127"/>
    <d v="2025-04-01T00:00:00"/>
    <x v="1"/>
    <x v="3"/>
    <x v="1"/>
    <x v="1"/>
    <s v="Basic"/>
    <n v="1"/>
    <n v="0"/>
    <n v="0"/>
    <n v="0"/>
    <n v="0"/>
    <n v="0"/>
    <n v="0"/>
    <n v="0"/>
    <m/>
    <n v="66.400000000000006"/>
  </r>
  <r>
    <s v="USR-101128"/>
    <d v="2025-05-22T00:00:00"/>
    <x v="1"/>
    <x v="2"/>
    <x v="1"/>
    <x v="1"/>
    <s v="Basic"/>
    <n v="1"/>
    <n v="0"/>
    <n v="0"/>
    <n v="0"/>
    <n v="0"/>
    <n v="0"/>
    <n v="0"/>
    <n v="0"/>
    <m/>
    <n v="41.5"/>
  </r>
  <r>
    <s v="USR-101129"/>
    <d v="2025-02-20T00:00:00"/>
    <x v="1"/>
    <x v="1"/>
    <x v="1"/>
    <x v="1"/>
    <s v="Basic"/>
    <n v="0"/>
    <n v="0"/>
    <n v="0"/>
    <n v="0"/>
    <n v="0"/>
    <n v="0"/>
    <n v="0"/>
    <n v="0"/>
    <m/>
    <n v="77.099999999999994"/>
  </r>
  <r>
    <s v="USR-101130"/>
    <d v="2025-03-21T00:00:00"/>
    <x v="1"/>
    <x v="1"/>
    <x v="1"/>
    <x v="1"/>
    <s v="Free"/>
    <n v="1"/>
    <n v="0"/>
    <n v="0"/>
    <n v="0"/>
    <n v="0"/>
    <n v="0"/>
    <n v="0"/>
    <n v="0"/>
    <m/>
    <n v="63.2"/>
  </r>
  <r>
    <s v="USR-101131"/>
    <d v="2025-05-01T00:00:00"/>
    <x v="1"/>
    <x v="1"/>
    <x v="0"/>
    <x v="3"/>
    <s v="Free"/>
    <n v="1"/>
    <n v="1"/>
    <n v="1"/>
    <n v="0"/>
    <n v="0"/>
    <n v="3"/>
    <n v="1"/>
    <n v="0"/>
    <m/>
    <n v="75.7"/>
  </r>
  <r>
    <s v="USR-101132"/>
    <d v="2025-01-06T00:00:00"/>
    <x v="1"/>
    <x v="1"/>
    <x v="1"/>
    <x v="2"/>
    <s v="Basic"/>
    <n v="0"/>
    <n v="0"/>
    <n v="0"/>
    <n v="0"/>
    <n v="0"/>
    <n v="0"/>
    <n v="0"/>
    <n v="0"/>
    <m/>
    <n v="62.9"/>
  </r>
  <r>
    <s v="USR-101133"/>
    <d v="2025-04-12T00:00:00"/>
    <x v="1"/>
    <x v="0"/>
    <x v="0"/>
    <x v="2"/>
    <s v="Premium"/>
    <n v="1"/>
    <n v="0"/>
    <n v="0"/>
    <n v="0"/>
    <n v="0"/>
    <n v="3"/>
    <n v="1"/>
    <n v="0"/>
    <m/>
    <n v="64.599999999999994"/>
  </r>
  <r>
    <s v="USR-101134"/>
    <d v="2025-04-18T00:00:00"/>
    <x v="1"/>
    <x v="0"/>
    <x v="1"/>
    <x v="5"/>
    <s v="Basic"/>
    <n v="1"/>
    <n v="0"/>
    <n v="0"/>
    <n v="0"/>
    <n v="0"/>
    <n v="0"/>
    <n v="0"/>
    <n v="0"/>
    <m/>
    <n v="76.599999999999994"/>
  </r>
  <r>
    <s v="USR-101135"/>
    <d v="2025-03-24T00:00:00"/>
    <x v="1"/>
    <x v="2"/>
    <x v="1"/>
    <x v="4"/>
    <s v="Basic"/>
    <n v="1"/>
    <n v="0"/>
    <n v="0"/>
    <n v="0"/>
    <n v="0"/>
    <n v="0"/>
    <n v="0"/>
    <n v="0"/>
    <m/>
    <n v="74.8"/>
  </r>
  <r>
    <s v="USR-101136"/>
    <d v="2025-03-18T00:00:00"/>
    <x v="1"/>
    <x v="2"/>
    <x v="0"/>
    <x v="0"/>
    <s v="Premium"/>
    <n v="1"/>
    <n v="0"/>
    <n v="0"/>
    <n v="0"/>
    <n v="0"/>
    <n v="2"/>
    <n v="1"/>
    <n v="0"/>
    <m/>
    <n v="38.1"/>
  </r>
  <r>
    <s v="USR-101137"/>
    <d v="2025-04-30T00:00:00"/>
    <x v="1"/>
    <x v="3"/>
    <x v="2"/>
    <x v="2"/>
    <s v="Basic"/>
    <n v="1"/>
    <n v="1"/>
    <n v="0"/>
    <n v="0"/>
    <n v="0"/>
    <n v="0"/>
    <n v="0"/>
    <n v="0"/>
    <m/>
    <n v="60.2"/>
  </r>
  <r>
    <s v="USR-101138"/>
    <d v="2025-01-25T00:00:00"/>
    <x v="1"/>
    <x v="1"/>
    <x v="1"/>
    <x v="0"/>
    <s v="Free"/>
    <n v="1"/>
    <n v="1"/>
    <n v="0"/>
    <n v="0"/>
    <n v="0"/>
    <n v="0"/>
    <n v="0"/>
    <n v="0"/>
    <m/>
    <n v="73.5"/>
  </r>
  <r>
    <s v="USR-101139"/>
    <d v="2025-04-10T00:00:00"/>
    <x v="1"/>
    <x v="3"/>
    <x v="1"/>
    <x v="1"/>
    <s v="Free"/>
    <n v="1"/>
    <n v="0"/>
    <n v="0"/>
    <n v="0"/>
    <n v="0"/>
    <n v="0"/>
    <n v="0"/>
    <n v="0"/>
    <m/>
    <n v="70.900000000000006"/>
  </r>
  <r>
    <s v="USR-101140"/>
    <d v="2025-01-10T00:00:00"/>
    <x v="1"/>
    <x v="1"/>
    <x v="1"/>
    <x v="4"/>
    <s v="Free"/>
    <n v="1"/>
    <n v="0"/>
    <n v="0"/>
    <n v="0"/>
    <n v="0"/>
    <n v="0"/>
    <n v="0"/>
    <n v="0"/>
    <m/>
    <n v="63.7"/>
  </r>
  <r>
    <s v="USR-101141"/>
    <d v="2025-02-11T00:00:00"/>
    <x v="1"/>
    <x v="3"/>
    <x v="1"/>
    <x v="2"/>
    <s v="Free"/>
    <n v="1"/>
    <n v="0"/>
    <n v="0"/>
    <n v="0"/>
    <n v="0"/>
    <n v="0"/>
    <n v="0"/>
    <n v="0"/>
    <m/>
    <n v="86.5"/>
  </r>
  <r>
    <s v="USR-101142"/>
    <d v="2025-05-01T00:00:00"/>
    <x v="1"/>
    <x v="2"/>
    <x v="1"/>
    <x v="4"/>
    <s v="Basic"/>
    <n v="1"/>
    <n v="1"/>
    <n v="1"/>
    <n v="1"/>
    <n v="921.72"/>
    <n v="3"/>
    <n v="1"/>
    <n v="0"/>
    <n v="7"/>
    <n v="74.599999999999994"/>
  </r>
  <r>
    <s v="USR-101143"/>
    <d v="2025-01-18T00:00:00"/>
    <x v="1"/>
    <x v="2"/>
    <x v="1"/>
    <x v="1"/>
    <s v="Free"/>
    <n v="1"/>
    <n v="0"/>
    <n v="0"/>
    <n v="0"/>
    <n v="0"/>
    <n v="0"/>
    <n v="0"/>
    <n v="0"/>
    <m/>
    <n v="46.6"/>
  </r>
  <r>
    <s v="USR-101144"/>
    <d v="2025-01-02T00:00:00"/>
    <x v="1"/>
    <x v="0"/>
    <x v="1"/>
    <x v="2"/>
    <s v="Free"/>
    <n v="0"/>
    <n v="0"/>
    <n v="0"/>
    <n v="0"/>
    <n v="0"/>
    <n v="0"/>
    <n v="0"/>
    <n v="0"/>
    <m/>
    <n v="61.2"/>
  </r>
  <r>
    <s v="USR-101145"/>
    <d v="2025-05-11T00:00:00"/>
    <x v="1"/>
    <x v="1"/>
    <x v="1"/>
    <x v="1"/>
    <s v="Free"/>
    <n v="1"/>
    <n v="1"/>
    <n v="1"/>
    <n v="1"/>
    <n v="290.39"/>
    <n v="0"/>
    <n v="0"/>
    <n v="0"/>
    <n v="4"/>
    <n v="54.4"/>
  </r>
  <r>
    <s v="USR-101146"/>
    <d v="2025-03-22T00:00:00"/>
    <x v="1"/>
    <x v="0"/>
    <x v="1"/>
    <x v="3"/>
    <s v="Free"/>
    <n v="1"/>
    <n v="1"/>
    <n v="1"/>
    <n v="0"/>
    <n v="0"/>
    <n v="0"/>
    <n v="0"/>
    <n v="0"/>
    <m/>
    <n v="72"/>
  </r>
  <r>
    <s v="USR-101147"/>
    <d v="2025-05-02T00:00:00"/>
    <x v="1"/>
    <x v="3"/>
    <x v="1"/>
    <x v="4"/>
    <s v="Premium"/>
    <n v="1"/>
    <n v="1"/>
    <n v="1"/>
    <n v="1"/>
    <n v="1858.85"/>
    <n v="0"/>
    <n v="0"/>
    <n v="0"/>
    <n v="8"/>
    <n v="88.6"/>
  </r>
  <r>
    <s v="USR-101148"/>
    <d v="2025-05-26T00:00:00"/>
    <x v="1"/>
    <x v="2"/>
    <x v="0"/>
    <x v="5"/>
    <s v="Basic"/>
    <n v="1"/>
    <n v="0"/>
    <n v="0"/>
    <n v="0"/>
    <n v="0"/>
    <n v="0"/>
    <n v="0"/>
    <n v="0"/>
    <m/>
    <n v="77.599999999999994"/>
  </r>
  <r>
    <s v="USR-101149"/>
    <d v="2025-03-13T00:00:00"/>
    <x v="1"/>
    <x v="3"/>
    <x v="1"/>
    <x v="1"/>
    <s v="Basic"/>
    <n v="1"/>
    <n v="0"/>
    <n v="0"/>
    <n v="0"/>
    <n v="0"/>
    <n v="1"/>
    <n v="1"/>
    <n v="0"/>
    <m/>
    <n v="44.3"/>
  </r>
  <r>
    <s v="USR-101150"/>
    <d v="2025-05-17T00:00:00"/>
    <x v="1"/>
    <x v="3"/>
    <x v="0"/>
    <x v="2"/>
    <s v="Free"/>
    <n v="1"/>
    <n v="1"/>
    <n v="0"/>
    <n v="0"/>
    <n v="0"/>
    <n v="0"/>
    <n v="0"/>
    <n v="0"/>
    <m/>
    <n v="49"/>
  </r>
  <r>
    <s v="USR-101151"/>
    <d v="2025-03-13T00:00:00"/>
    <x v="1"/>
    <x v="0"/>
    <x v="0"/>
    <x v="3"/>
    <s v="Premium"/>
    <n v="1"/>
    <n v="0"/>
    <n v="0"/>
    <n v="0"/>
    <n v="0"/>
    <n v="0"/>
    <n v="0"/>
    <n v="0"/>
    <m/>
    <n v="53.9"/>
  </r>
  <r>
    <s v="USR-101152"/>
    <d v="2025-02-11T00:00:00"/>
    <x v="1"/>
    <x v="2"/>
    <x v="0"/>
    <x v="1"/>
    <s v="Basic"/>
    <n v="1"/>
    <n v="0"/>
    <n v="0"/>
    <n v="0"/>
    <n v="0"/>
    <n v="1"/>
    <n v="1"/>
    <n v="0"/>
    <m/>
    <n v="69"/>
  </r>
  <r>
    <s v="USR-101153"/>
    <d v="2025-03-01T00:00:00"/>
    <x v="1"/>
    <x v="1"/>
    <x v="1"/>
    <x v="4"/>
    <s v="Free"/>
    <n v="0"/>
    <n v="0"/>
    <n v="0"/>
    <n v="0"/>
    <n v="0"/>
    <n v="0"/>
    <n v="0"/>
    <n v="0"/>
    <m/>
    <n v="37.4"/>
  </r>
  <r>
    <s v="USR-101154"/>
    <d v="2025-04-15T00:00:00"/>
    <x v="1"/>
    <x v="1"/>
    <x v="1"/>
    <x v="1"/>
    <s v="Basic"/>
    <n v="0"/>
    <n v="0"/>
    <n v="0"/>
    <n v="0"/>
    <n v="0"/>
    <n v="0"/>
    <n v="0"/>
    <n v="0"/>
    <m/>
    <n v="59"/>
  </r>
  <r>
    <s v="USR-101155"/>
    <d v="2025-02-02T00:00:00"/>
    <x v="1"/>
    <x v="2"/>
    <x v="1"/>
    <x v="1"/>
    <s v="Premium"/>
    <n v="1"/>
    <n v="0"/>
    <n v="0"/>
    <n v="0"/>
    <n v="0"/>
    <n v="0"/>
    <n v="0"/>
    <n v="0"/>
    <m/>
    <n v="60.8"/>
  </r>
  <r>
    <s v="USR-101156"/>
    <d v="2025-05-19T00:00:00"/>
    <x v="1"/>
    <x v="3"/>
    <x v="1"/>
    <x v="0"/>
    <s v="Free"/>
    <n v="1"/>
    <n v="0"/>
    <n v="0"/>
    <n v="0"/>
    <n v="0"/>
    <n v="0"/>
    <n v="0"/>
    <n v="0"/>
    <m/>
    <n v="57.5"/>
  </r>
  <r>
    <s v="USR-101157"/>
    <d v="2025-01-05T00:00:00"/>
    <x v="1"/>
    <x v="1"/>
    <x v="1"/>
    <x v="3"/>
    <s v="Free"/>
    <n v="0"/>
    <n v="0"/>
    <n v="0"/>
    <n v="0"/>
    <n v="0"/>
    <n v="0"/>
    <n v="0"/>
    <n v="0"/>
    <m/>
    <n v="84.2"/>
  </r>
  <r>
    <s v="USR-101158"/>
    <d v="2025-03-08T00:00:00"/>
    <x v="1"/>
    <x v="3"/>
    <x v="1"/>
    <x v="2"/>
    <s v="Free"/>
    <n v="1"/>
    <n v="1"/>
    <n v="0"/>
    <n v="0"/>
    <n v="0"/>
    <n v="0"/>
    <n v="0"/>
    <n v="0"/>
    <m/>
    <n v="27.4"/>
  </r>
  <r>
    <s v="USR-101159"/>
    <d v="2025-03-12T00:00:00"/>
    <x v="1"/>
    <x v="1"/>
    <x v="1"/>
    <x v="0"/>
    <s v="Basic"/>
    <n v="1"/>
    <n v="0"/>
    <n v="0"/>
    <n v="0"/>
    <n v="0"/>
    <n v="1"/>
    <n v="1"/>
    <n v="0"/>
    <m/>
    <n v="67.599999999999994"/>
  </r>
  <r>
    <s v="USR-101160"/>
    <d v="2025-01-24T00:00:00"/>
    <x v="1"/>
    <x v="1"/>
    <x v="1"/>
    <x v="1"/>
    <s v="Free"/>
    <n v="0"/>
    <n v="0"/>
    <n v="0"/>
    <n v="0"/>
    <n v="0"/>
    <n v="0"/>
    <n v="0"/>
    <n v="0"/>
    <m/>
    <n v="68.400000000000006"/>
  </r>
  <r>
    <s v="USR-101161"/>
    <d v="2025-05-22T00:00:00"/>
    <x v="1"/>
    <x v="3"/>
    <x v="1"/>
    <x v="2"/>
    <s v="Basic"/>
    <n v="1"/>
    <n v="1"/>
    <n v="1"/>
    <n v="0"/>
    <n v="0"/>
    <n v="0"/>
    <n v="0"/>
    <n v="0"/>
    <m/>
    <n v="66.5"/>
  </r>
  <r>
    <s v="USR-101162"/>
    <d v="2025-03-27T00:00:00"/>
    <x v="1"/>
    <x v="3"/>
    <x v="1"/>
    <x v="2"/>
    <s v="Free"/>
    <n v="1"/>
    <n v="0"/>
    <n v="0"/>
    <n v="0"/>
    <n v="0"/>
    <n v="0"/>
    <n v="0"/>
    <n v="0"/>
    <m/>
    <n v="38.200000000000003"/>
  </r>
  <r>
    <s v="USR-101163"/>
    <d v="2025-01-02T00:00:00"/>
    <x v="1"/>
    <x v="1"/>
    <x v="1"/>
    <x v="4"/>
    <s v="Free"/>
    <n v="0"/>
    <n v="0"/>
    <n v="0"/>
    <n v="0"/>
    <n v="0"/>
    <n v="1"/>
    <n v="1"/>
    <n v="0"/>
    <m/>
    <n v="66.7"/>
  </r>
  <r>
    <s v="USR-101164"/>
    <d v="2025-02-24T00:00:00"/>
    <x v="1"/>
    <x v="0"/>
    <x v="1"/>
    <x v="2"/>
    <s v="Free"/>
    <n v="0"/>
    <n v="0"/>
    <n v="0"/>
    <n v="0"/>
    <n v="0"/>
    <n v="1"/>
    <n v="1"/>
    <n v="0"/>
    <m/>
    <n v="73.7"/>
  </r>
  <r>
    <s v="USR-101165"/>
    <d v="2025-03-01T00:00:00"/>
    <x v="1"/>
    <x v="1"/>
    <x v="0"/>
    <x v="1"/>
    <s v="Basic"/>
    <n v="1"/>
    <n v="1"/>
    <n v="1"/>
    <n v="0"/>
    <n v="0"/>
    <n v="0"/>
    <n v="0"/>
    <n v="0"/>
    <m/>
    <n v="63.9"/>
  </r>
  <r>
    <s v="USR-101166"/>
    <d v="2025-03-26T00:00:00"/>
    <x v="1"/>
    <x v="3"/>
    <x v="2"/>
    <x v="1"/>
    <s v="Basic"/>
    <n v="1"/>
    <n v="0"/>
    <n v="0"/>
    <n v="0"/>
    <n v="0"/>
    <n v="1"/>
    <n v="1"/>
    <n v="0"/>
    <m/>
    <n v="82.6"/>
  </r>
  <r>
    <s v="USR-101167"/>
    <d v="2025-05-25T00:00:00"/>
    <x v="1"/>
    <x v="2"/>
    <x v="1"/>
    <x v="2"/>
    <s v="Free"/>
    <n v="0"/>
    <n v="0"/>
    <n v="0"/>
    <n v="0"/>
    <n v="0"/>
    <n v="1"/>
    <n v="1"/>
    <n v="0"/>
    <m/>
    <n v="58.3"/>
  </r>
  <r>
    <s v="USR-101168"/>
    <d v="2025-02-25T00:00:00"/>
    <x v="1"/>
    <x v="1"/>
    <x v="1"/>
    <x v="3"/>
    <s v="Premium"/>
    <n v="1"/>
    <n v="1"/>
    <n v="1"/>
    <n v="1"/>
    <n v="1547.06"/>
    <n v="0"/>
    <n v="0"/>
    <n v="1"/>
    <n v="2"/>
    <n v="72.900000000000006"/>
  </r>
  <r>
    <s v="USR-101169"/>
    <d v="2025-03-23T00:00:00"/>
    <x v="1"/>
    <x v="3"/>
    <x v="1"/>
    <x v="4"/>
    <s v="Free"/>
    <n v="1"/>
    <n v="1"/>
    <n v="1"/>
    <n v="0"/>
    <n v="0"/>
    <n v="2"/>
    <n v="1"/>
    <n v="0"/>
    <m/>
    <n v="53.5"/>
  </r>
  <r>
    <s v="USR-101170"/>
    <d v="2025-04-21T00:00:00"/>
    <x v="1"/>
    <x v="1"/>
    <x v="1"/>
    <x v="3"/>
    <s v="Free"/>
    <n v="1"/>
    <n v="0"/>
    <n v="0"/>
    <n v="0"/>
    <n v="0"/>
    <n v="0"/>
    <n v="0"/>
    <n v="0"/>
    <m/>
    <n v="54.8"/>
  </r>
  <r>
    <s v="USR-101171"/>
    <d v="2025-05-21T00:00:00"/>
    <x v="1"/>
    <x v="0"/>
    <x v="1"/>
    <x v="1"/>
    <s v="Premium"/>
    <n v="1"/>
    <n v="0"/>
    <n v="0"/>
    <n v="0"/>
    <n v="0"/>
    <n v="0"/>
    <n v="0"/>
    <n v="0"/>
    <m/>
    <n v="69.5"/>
  </r>
  <r>
    <s v="USR-101172"/>
    <d v="2025-04-25T00:00:00"/>
    <x v="1"/>
    <x v="0"/>
    <x v="0"/>
    <x v="4"/>
    <s v="Free"/>
    <n v="1"/>
    <n v="0"/>
    <n v="0"/>
    <n v="0"/>
    <n v="0"/>
    <n v="1"/>
    <n v="1"/>
    <n v="0"/>
    <m/>
    <n v="71.3"/>
  </r>
  <r>
    <s v="USR-101173"/>
    <d v="2025-05-23T00:00:00"/>
    <x v="1"/>
    <x v="1"/>
    <x v="1"/>
    <x v="3"/>
    <s v="Basic"/>
    <n v="1"/>
    <n v="0"/>
    <n v="0"/>
    <n v="0"/>
    <n v="0"/>
    <n v="1"/>
    <n v="1"/>
    <n v="0"/>
    <m/>
    <n v="57.5"/>
  </r>
  <r>
    <s v="USR-101174"/>
    <d v="2025-03-18T00:00:00"/>
    <x v="1"/>
    <x v="3"/>
    <x v="1"/>
    <x v="0"/>
    <s v="Free"/>
    <n v="1"/>
    <n v="0"/>
    <n v="0"/>
    <n v="0"/>
    <n v="0"/>
    <n v="4"/>
    <n v="1"/>
    <n v="0"/>
    <m/>
    <n v="50.9"/>
  </r>
  <r>
    <s v="USR-101175"/>
    <d v="2025-01-03T00:00:00"/>
    <x v="1"/>
    <x v="3"/>
    <x v="2"/>
    <x v="1"/>
    <s v="Free"/>
    <n v="1"/>
    <n v="1"/>
    <n v="1"/>
    <n v="0"/>
    <n v="0"/>
    <n v="0"/>
    <n v="0"/>
    <n v="0"/>
    <m/>
    <n v="69.3"/>
  </r>
  <r>
    <s v="USR-101176"/>
    <d v="2025-02-08T00:00:00"/>
    <x v="1"/>
    <x v="1"/>
    <x v="0"/>
    <x v="1"/>
    <s v="Free"/>
    <n v="1"/>
    <n v="0"/>
    <n v="0"/>
    <n v="0"/>
    <n v="0"/>
    <n v="0"/>
    <n v="0"/>
    <n v="0"/>
    <m/>
    <n v="50.1"/>
  </r>
  <r>
    <s v="USR-101177"/>
    <d v="2025-02-04T00:00:00"/>
    <x v="1"/>
    <x v="2"/>
    <x v="3"/>
    <x v="2"/>
    <s v="Basic"/>
    <n v="0"/>
    <n v="0"/>
    <n v="0"/>
    <n v="0"/>
    <n v="0"/>
    <n v="0"/>
    <n v="0"/>
    <n v="0"/>
    <m/>
    <n v="69.7"/>
  </r>
  <r>
    <s v="USR-101178"/>
    <d v="2025-01-16T00:00:00"/>
    <x v="1"/>
    <x v="0"/>
    <x v="1"/>
    <x v="2"/>
    <s v="Free"/>
    <n v="0"/>
    <n v="0"/>
    <n v="0"/>
    <n v="0"/>
    <n v="0"/>
    <n v="0"/>
    <n v="0"/>
    <n v="0"/>
    <m/>
    <n v="63.5"/>
  </r>
  <r>
    <s v="USR-101179"/>
    <d v="2025-04-04T00:00:00"/>
    <x v="1"/>
    <x v="1"/>
    <x v="0"/>
    <x v="2"/>
    <s v="Free"/>
    <n v="1"/>
    <n v="1"/>
    <n v="1"/>
    <n v="1"/>
    <n v="265.58999999999997"/>
    <n v="1"/>
    <n v="1"/>
    <n v="0"/>
    <n v="8"/>
    <n v="80.400000000000006"/>
  </r>
  <r>
    <s v="USR-101180"/>
    <d v="2025-01-23T00:00:00"/>
    <x v="1"/>
    <x v="0"/>
    <x v="0"/>
    <x v="2"/>
    <s v="Free"/>
    <n v="0"/>
    <n v="0"/>
    <n v="0"/>
    <n v="0"/>
    <n v="0"/>
    <n v="0"/>
    <n v="0"/>
    <n v="0"/>
    <m/>
    <n v="58.9"/>
  </r>
  <r>
    <s v="USR-101181"/>
    <d v="2025-03-22T00:00:00"/>
    <x v="1"/>
    <x v="3"/>
    <x v="0"/>
    <x v="2"/>
    <s v="Free"/>
    <n v="1"/>
    <n v="0"/>
    <n v="0"/>
    <n v="0"/>
    <n v="0"/>
    <n v="0"/>
    <n v="0"/>
    <n v="0"/>
    <m/>
    <n v="56.8"/>
  </r>
  <r>
    <s v="USR-101182"/>
    <d v="2025-02-02T00:00:00"/>
    <x v="1"/>
    <x v="2"/>
    <x v="2"/>
    <x v="4"/>
    <s v="Premium"/>
    <n v="0"/>
    <n v="0"/>
    <n v="0"/>
    <n v="0"/>
    <n v="0"/>
    <n v="0"/>
    <n v="0"/>
    <n v="0"/>
    <m/>
    <n v="73.900000000000006"/>
  </r>
  <r>
    <s v="USR-101183"/>
    <d v="2025-01-31T00:00:00"/>
    <x v="1"/>
    <x v="0"/>
    <x v="0"/>
    <x v="2"/>
    <s v="Free"/>
    <n v="0"/>
    <n v="0"/>
    <n v="0"/>
    <n v="0"/>
    <n v="0"/>
    <n v="0"/>
    <n v="0"/>
    <n v="0"/>
    <m/>
    <n v="76.3"/>
  </r>
  <r>
    <s v="USR-101184"/>
    <d v="2025-05-27T00:00:00"/>
    <x v="1"/>
    <x v="1"/>
    <x v="1"/>
    <x v="1"/>
    <s v="Basic"/>
    <n v="1"/>
    <n v="0"/>
    <n v="0"/>
    <n v="0"/>
    <n v="0"/>
    <n v="0"/>
    <n v="0"/>
    <n v="0"/>
    <m/>
    <n v="56.9"/>
  </r>
  <r>
    <s v="USR-101185"/>
    <d v="2025-05-07T00:00:00"/>
    <x v="1"/>
    <x v="0"/>
    <x v="1"/>
    <x v="1"/>
    <s v="Premium"/>
    <n v="1"/>
    <n v="0"/>
    <n v="0"/>
    <n v="0"/>
    <n v="0"/>
    <n v="2"/>
    <n v="1"/>
    <n v="0"/>
    <m/>
    <n v="49.4"/>
  </r>
  <r>
    <s v="USR-101186"/>
    <d v="2025-05-08T00:00:00"/>
    <x v="1"/>
    <x v="0"/>
    <x v="0"/>
    <x v="2"/>
    <s v="Basic"/>
    <n v="1"/>
    <n v="0"/>
    <n v="0"/>
    <n v="0"/>
    <n v="0"/>
    <n v="0"/>
    <n v="0"/>
    <n v="0"/>
    <m/>
    <n v="86.7"/>
  </r>
  <r>
    <s v="USR-101187"/>
    <d v="2025-01-15T00:00:00"/>
    <x v="1"/>
    <x v="1"/>
    <x v="0"/>
    <x v="0"/>
    <s v="Free"/>
    <n v="1"/>
    <n v="0"/>
    <n v="0"/>
    <n v="0"/>
    <n v="0"/>
    <n v="3"/>
    <n v="1"/>
    <n v="0"/>
    <m/>
    <n v="69"/>
  </r>
  <r>
    <s v="USR-101188"/>
    <d v="2025-01-18T00:00:00"/>
    <x v="1"/>
    <x v="0"/>
    <x v="1"/>
    <x v="2"/>
    <s v="Free"/>
    <n v="0"/>
    <n v="0"/>
    <n v="0"/>
    <n v="0"/>
    <n v="0"/>
    <n v="0"/>
    <n v="0"/>
    <n v="0"/>
    <m/>
    <n v="84.5"/>
  </r>
  <r>
    <s v="USR-101189"/>
    <d v="2025-04-16T00:00:00"/>
    <x v="1"/>
    <x v="2"/>
    <x v="3"/>
    <x v="3"/>
    <s v="Free"/>
    <n v="1"/>
    <n v="0"/>
    <n v="0"/>
    <n v="0"/>
    <n v="0"/>
    <n v="0"/>
    <n v="0"/>
    <n v="0"/>
    <m/>
    <n v="66.3"/>
  </r>
  <r>
    <s v="USR-101190"/>
    <d v="2025-02-16T00:00:00"/>
    <x v="1"/>
    <x v="2"/>
    <x v="0"/>
    <x v="2"/>
    <s v="Free"/>
    <n v="0"/>
    <n v="0"/>
    <n v="0"/>
    <n v="0"/>
    <n v="0"/>
    <n v="0"/>
    <n v="0"/>
    <n v="0"/>
    <m/>
    <n v="52.2"/>
  </r>
  <r>
    <s v="USR-101191"/>
    <d v="2025-04-17T00:00:00"/>
    <x v="1"/>
    <x v="3"/>
    <x v="0"/>
    <x v="3"/>
    <s v="Premium"/>
    <n v="1"/>
    <n v="1"/>
    <n v="1"/>
    <n v="0"/>
    <n v="0"/>
    <n v="0"/>
    <n v="0"/>
    <n v="0"/>
    <m/>
    <n v="81.2"/>
  </r>
  <r>
    <s v="USR-101192"/>
    <d v="2025-04-30T00:00:00"/>
    <x v="1"/>
    <x v="3"/>
    <x v="1"/>
    <x v="1"/>
    <s v="Basic"/>
    <n v="0"/>
    <n v="0"/>
    <n v="0"/>
    <n v="0"/>
    <n v="0"/>
    <n v="0"/>
    <n v="0"/>
    <n v="0"/>
    <m/>
    <n v="53.9"/>
  </r>
  <r>
    <s v="USR-101193"/>
    <d v="2025-01-29T00:00:00"/>
    <x v="1"/>
    <x v="1"/>
    <x v="1"/>
    <x v="4"/>
    <s v="Premium"/>
    <n v="0"/>
    <n v="0"/>
    <n v="0"/>
    <n v="0"/>
    <n v="0"/>
    <n v="0"/>
    <n v="0"/>
    <n v="0"/>
    <m/>
    <n v="39.1"/>
  </r>
  <r>
    <s v="USR-101194"/>
    <d v="2025-01-11T00:00:00"/>
    <x v="1"/>
    <x v="0"/>
    <x v="1"/>
    <x v="4"/>
    <s v="Basic"/>
    <n v="0"/>
    <n v="0"/>
    <n v="0"/>
    <n v="0"/>
    <n v="0"/>
    <n v="0"/>
    <n v="0"/>
    <n v="0"/>
    <m/>
    <n v="57.3"/>
  </r>
  <r>
    <s v="USR-101195"/>
    <d v="2025-04-08T00:00:00"/>
    <x v="1"/>
    <x v="2"/>
    <x v="0"/>
    <x v="2"/>
    <s v="Premium"/>
    <n v="1"/>
    <n v="0"/>
    <n v="0"/>
    <n v="0"/>
    <n v="0"/>
    <n v="1"/>
    <n v="1"/>
    <n v="0"/>
    <m/>
    <n v="65.900000000000006"/>
  </r>
  <r>
    <s v="USR-101196"/>
    <d v="2025-02-22T00:00:00"/>
    <x v="1"/>
    <x v="0"/>
    <x v="3"/>
    <x v="4"/>
    <s v="Free"/>
    <n v="1"/>
    <n v="0"/>
    <n v="0"/>
    <n v="0"/>
    <n v="0"/>
    <n v="1"/>
    <n v="1"/>
    <n v="0"/>
    <m/>
    <n v="34.200000000000003"/>
  </r>
  <r>
    <s v="USR-101197"/>
    <d v="2025-03-23T00:00:00"/>
    <x v="1"/>
    <x v="3"/>
    <x v="1"/>
    <x v="1"/>
    <s v="Free"/>
    <n v="0"/>
    <n v="0"/>
    <n v="0"/>
    <n v="0"/>
    <n v="0"/>
    <n v="0"/>
    <n v="0"/>
    <n v="0"/>
    <m/>
    <n v="47.2"/>
  </r>
  <r>
    <s v="USR-101198"/>
    <d v="2025-05-23T00:00:00"/>
    <x v="1"/>
    <x v="3"/>
    <x v="2"/>
    <x v="2"/>
    <s v="Free"/>
    <n v="1"/>
    <n v="0"/>
    <n v="0"/>
    <n v="0"/>
    <n v="0"/>
    <n v="1"/>
    <n v="1"/>
    <n v="0"/>
    <m/>
    <n v="55"/>
  </r>
  <r>
    <s v="USR-101199"/>
    <d v="2025-04-27T00:00:00"/>
    <x v="1"/>
    <x v="1"/>
    <x v="1"/>
    <x v="3"/>
    <s v="Basic"/>
    <n v="1"/>
    <n v="1"/>
    <n v="1"/>
    <n v="0"/>
    <n v="0"/>
    <n v="0"/>
    <n v="0"/>
    <n v="0"/>
    <m/>
    <n v="76.400000000000006"/>
  </r>
  <r>
    <s v="USR-101200"/>
    <d v="2025-05-26T00:00:00"/>
    <x v="1"/>
    <x v="0"/>
    <x v="1"/>
    <x v="3"/>
    <s v="Free"/>
    <n v="1"/>
    <n v="0"/>
    <n v="0"/>
    <n v="0"/>
    <n v="0"/>
    <n v="0"/>
    <n v="0"/>
    <n v="0"/>
    <m/>
    <n v="70.8"/>
  </r>
  <r>
    <s v="USR-101201"/>
    <d v="2025-03-06T00:00:00"/>
    <x v="1"/>
    <x v="2"/>
    <x v="1"/>
    <x v="2"/>
    <s v="Basic"/>
    <n v="1"/>
    <n v="1"/>
    <n v="0"/>
    <n v="0"/>
    <n v="0"/>
    <n v="1"/>
    <n v="1"/>
    <n v="0"/>
    <m/>
    <n v="58"/>
  </r>
  <r>
    <s v="USR-101202"/>
    <d v="2025-04-03T00:00:00"/>
    <x v="1"/>
    <x v="1"/>
    <x v="1"/>
    <x v="1"/>
    <s v="Basic"/>
    <n v="1"/>
    <n v="1"/>
    <n v="1"/>
    <n v="0"/>
    <n v="0"/>
    <n v="1"/>
    <n v="1"/>
    <n v="0"/>
    <m/>
    <n v="70.8"/>
  </r>
  <r>
    <s v="USR-101203"/>
    <d v="2025-02-01T00:00:00"/>
    <x v="1"/>
    <x v="2"/>
    <x v="0"/>
    <x v="2"/>
    <s v="Free"/>
    <n v="1"/>
    <n v="0"/>
    <n v="0"/>
    <n v="0"/>
    <n v="0"/>
    <n v="3"/>
    <n v="1"/>
    <n v="0"/>
    <m/>
    <n v="60"/>
  </r>
  <r>
    <s v="USR-101204"/>
    <d v="2025-05-01T00:00:00"/>
    <x v="1"/>
    <x v="1"/>
    <x v="1"/>
    <x v="3"/>
    <s v="Premium"/>
    <n v="1"/>
    <n v="1"/>
    <n v="1"/>
    <n v="0"/>
    <n v="0"/>
    <n v="3"/>
    <n v="1"/>
    <n v="0"/>
    <m/>
    <n v="58.1"/>
  </r>
  <r>
    <s v="USR-101205"/>
    <d v="2025-04-13T00:00:00"/>
    <x v="1"/>
    <x v="0"/>
    <x v="1"/>
    <x v="4"/>
    <s v="Premium"/>
    <n v="0"/>
    <n v="0"/>
    <n v="0"/>
    <n v="0"/>
    <n v="0"/>
    <n v="0"/>
    <n v="0"/>
    <n v="0"/>
    <m/>
    <n v="59.7"/>
  </r>
  <r>
    <s v="USR-101206"/>
    <d v="2025-01-25T00:00:00"/>
    <x v="1"/>
    <x v="2"/>
    <x v="1"/>
    <x v="4"/>
    <s v="Free"/>
    <n v="0"/>
    <n v="0"/>
    <n v="0"/>
    <n v="0"/>
    <n v="0"/>
    <n v="0"/>
    <n v="0"/>
    <n v="0"/>
    <m/>
    <n v="47.7"/>
  </r>
  <r>
    <s v="USR-101207"/>
    <d v="2025-03-17T00:00:00"/>
    <x v="1"/>
    <x v="0"/>
    <x v="1"/>
    <x v="1"/>
    <s v="Free"/>
    <n v="0"/>
    <n v="0"/>
    <n v="0"/>
    <n v="0"/>
    <n v="0"/>
    <n v="0"/>
    <n v="0"/>
    <n v="0"/>
    <m/>
    <n v="59.1"/>
  </r>
  <r>
    <s v="USR-101208"/>
    <d v="2025-02-21T00:00:00"/>
    <x v="1"/>
    <x v="1"/>
    <x v="0"/>
    <x v="4"/>
    <s v="Basic"/>
    <n v="1"/>
    <n v="0"/>
    <n v="0"/>
    <n v="0"/>
    <n v="0"/>
    <n v="1"/>
    <n v="1"/>
    <n v="0"/>
    <m/>
    <n v="68.7"/>
  </r>
  <r>
    <s v="USR-101209"/>
    <d v="2025-04-08T00:00:00"/>
    <x v="1"/>
    <x v="2"/>
    <x v="2"/>
    <x v="1"/>
    <s v="Basic"/>
    <n v="0"/>
    <n v="0"/>
    <n v="0"/>
    <n v="0"/>
    <n v="0"/>
    <n v="0"/>
    <n v="0"/>
    <n v="0"/>
    <m/>
    <n v="34.700000000000003"/>
  </r>
  <r>
    <s v="USR-101210"/>
    <d v="2025-02-24T00:00:00"/>
    <x v="1"/>
    <x v="1"/>
    <x v="1"/>
    <x v="1"/>
    <s v="Basic"/>
    <n v="1"/>
    <n v="0"/>
    <n v="0"/>
    <n v="0"/>
    <n v="0"/>
    <n v="0"/>
    <n v="0"/>
    <n v="0"/>
    <m/>
    <n v="62"/>
  </r>
  <r>
    <s v="USR-101211"/>
    <d v="2025-05-29T00:00:00"/>
    <x v="1"/>
    <x v="3"/>
    <x v="1"/>
    <x v="1"/>
    <s v="Free"/>
    <n v="1"/>
    <n v="1"/>
    <n v="0"/>
    <n v="0"/>
    <n v="0"/>
    <n v="0"/>
    <n v="0"/>
    <n v="0"/>
    <m/>
    <n v="56"/>
  </r>
  <r>
    <s v="USR-101212"/>
    <d v="2025-05-30T00:00:00"/>
    <x v="1"/>
    <x v="0"/>
    <x v="1"/>
    <x v="0"/>
    <s v="Basic"/>
    <n v="1"/>
    <n v="0"/>
    <n v="0"/>
    <n v="0"/>
    <n v="0"/>
    <n v="1"/>
    <n v="1"/>
    <n v="0"/>
    <m/>
    <n v="65.8"/>
  </r>
  <r>
    <s v="USR-101213"/>
    <d v="2025-01-24T00:00:00"/>
    <x v="1"/>
    <x v="0"/>
    <x v="0"/>
    <x v="1"/>
    <s v="Premium"/>
    <n v="0"/>
    <n v="0"/>
    <n v="0"/>
    <n v="0"/>
    <n v="0"/>
    <n v="0"/>
    <n v="0"/>
    <n v="0"/>
    <m/>
    <n v="54.7"/>
  </r>
  <r>
    <s v="USR-101214"/>
    <d v="2025-05-12T00:00:00"/>
    <x v="1"/>
    <x v="3"/>
    <x v="1"/>
    <x v="1"/>
    <s v="Basic"/>
    <n v="1"/>
    <n v="1"/>
    <n v="0"/>
    <n v="0"/>
    <n v="0"/>
    <n v="0"/>
    <n v="0"/>
    <n v="0"/>
    <m/>
    <n v="64.099999999999994"/>
  </r>
  <r>
    <s v="USR-101215"/>
    <d v="2025-03-28T00:00:00"/>
    <x v="1"/>
    <x v="3"/>
    <x v="1"/>
    <x v="1"/>
    <s v="Basic"/>
    <n v="1"/>
    <n v="1"/>
    <n v="1"/>
    <n v="0"/>
    <n v="0"/>
    <n v="0"/>
    <n v="0"/>
    <n v="0"/>
    <m/>
    <n v="71.599999999999994"/>
  </r>
  <r>
    <s v="USR-101216"/>
    <d v="2025-04-14T00:00:00"/>
    <x v="1"/>
    <x v="0"/>
    <x v="1"/>
    <x v="3"/>
    <s v="Basic"/>
    <n v="1"/>
    <n v="0"/>
    <n v="0"/>
    <n v="0"/>
    <n v="0"/>
    <n v="0"/>
    <n v="0"/>
    <n v="0"/>
    <m/>
    <n v="78.400000000000006"/>
  </r>
  <r>
    <s v="USR-101217"/>
    <d v="2025-01-28T00:00:00"/>
    <x v="1"/>
    <x v="2"/>
    <x v="2"/>
    <x v="3"/>
    <s v="Basic"/>
    <n v="0"/>
    <n v="0"/>
    <n v="0"/>
    <n v="0"/>
    <n v="0"/>
    <n v="0"/>
    <n v="0"/>
    <n v="0"/>
    <m/>
    <n v="49.3"/>
  </r>
  <r>
    <s v="USR-101218"/>
    <d v="2025-05-21T00:00:00"/>
    <x v="1"/>
    <x v="0"/>
    <x v="1"/>
    <x v="1"/>
    <s v="Basic"/>
    <n v="0"/>
    <n v="0"/>
    <n v="0"/>
    <n v="0"/>
    <n v="0"/>
    <n v="0"/>
    <n v="0"/>
    <n v="0"/>
    <m/>
    <n v="52.8"/>
  </r>
  <r>
    <s v="USR-101219"/>
    <d v="2025-05-11T00:00:00"/>
    <x v="1"/>
    <x v="1"/>
    <x v="0"/>
    <x v="1"/>
    <s v="Free"/>
    <n v="0"/>
    <n v="0"/>
    <n v="0"/>
    <n v="0"/>
    <n v="0"/>
    <n v="0"/>
    <n v="0"/>
    <n v="0"/>
    <m/>
    <n v="58.5"/>
  </r>
  <r>
    <s v="USR-101220"/>
    <d v="2025-02-02T00:00:00"/>
    <x v="1"/>
    <x v="3"/>
    <x v="1"/>
    <x v="2"/>
    <s v="Free"/>
    <n v="1"/>
    <n v="0"/>
    <n v="0"/>
    <n v="0"/>
    <n v="0"/>
    <n v="0"/>
    <n v="0"/>
    <n v="0"/>
    <m/>
    <n v="55.9"/>
  </r>
  <r>
    <s v="USR-101221"/>
    <d v="2025-02-26T00:00:00"/>
    <x v="1"/>
    <x v="0"/>
    <x v="1"/>
    <x v="4"/>
    <s v="Free"/>
    <n v="1"/>
    <n v="1"/>
    <n v="1"/>
    <n v="1"/>
    <n v="351.43"/>
    <n v="1"/>
    <n v="1"/>
    <n v="0"/>
    <n v="6"/>
    <n v="74.900000000000006"/>
  </r>
  <r>
    <s v="USR-101222"/>
    <d v="2025-02-27T00:00:00"/>
    <x v="1"/>
    <x v="3"/>
    <x v="0"/>
    <x v="3"/>
    <s v="Free"/>
    <n v="1"/>
    <n v="1"/>
    <n v="1"/>
    <n v="1"/>
    <n v="352.42"/>
    <n v="0"/>
    <n v="0"/>
    <n v="0"/>
    <n v="4"/>
    <n v="58.5"/>
  </r>
  <r>
    <s v="USR-101223"/>
    <d v="2025-03-09T00:00:00"/>
    <x v="1"/>
    <x v="1"/>
    <x v="1"/>
    <x v="1"/>
    <s v="Free"/>
    <n v="0"/>
    <n v="0"/>
    <n v="0"/>
    <n v="0"/>
    <n v="0"/>
    <n v="0"/>
    <n v="0"/>
    <n v="0"/>
    <m/>
    <n v="63.5"/>
  </r>
  <r>
    <s v="USR-101224"/>
    <d v="2025-02-07T00:00:00"/>
    <x v="1"/>
    <x v="0"/>
    <x v="1"/>
    <x v="2"/>
    <s v="Basic"/>
    <n v="1"/>
    <n v="0"/>
    <n v="0"/>
    <n v="0"/>
    <n v="0"/>
    <n v="1"/>
    <n v="1"/>
    <n v="0"/>
    <m/>
    <n v="64.8"/>
  </r>
  <r>
    <s v="USR-101225"/>
    <d v="2025-01-31T00:00:00"/>
    <x v="1"/>
    <x v="1"/>
    <x v="1"/>
    <x v="4"/>
    <s v="Free"/>
    <n v="0"/>
    <n v="0"/>
    <n v="0"/>
    <n v="0"/>
    <n v="0"/>
    <n v="0"/>
    <n v="0"/>
    <n v="0"/>
    <m/>
    <n v="63.3"/>
  </r>
  <r>
    <s v="USR-101226"/>
    <d v="2025-02-14T00:00:00"/>
    <x v="1"/>
    <x v="0"/>
    <x v="2"/>
    <x v="2"/>
    <s v="Basic"/>
    <n v="1"/>
    <n v="1"/>
    <n v="1"/>
    <n v="1"/>
    <n v="1074.1600000000001"/>
    <n v="0"/>
    <n v="0"/>
    <n v="0"/>
    <n v="8"/>
    <n v="83.7"/>
  </r>
  <r>
    <s v="USR-101227"/>
    <d v="2025-02-12T00:00:00"/>
    <x v="1"/>
    <x v="3"/>
    <x v="0"/>
    <x v="4"/>
    <s v="Basic"/>
    <n v="0"/>
    <n v="0"/>
    <n v="0"/>
    <n v="0"/>
    <n v="0"/>
    <n v="0"/>
    <n v="0"/>
    <n v="0"/>
    <m/>
    <n v="88.7"/>
  </r>
  <r>
    <s v="USR-101228"/>
    <d v="2025-03-23T00:00:00"/>
    <x v="1"/>
    <x v="2"/>
    <x v="3"/>
    <x v="2"/>
    <s v="Free"/>
    <n v="1"/>
    <n v="0"/>
    <n v="0"/>
    <n v="0"/>
    <n v="0"/>
    <n v="1"/>
    <n v="1"/>
    <n v="0"/>
    <m/>
    <n v="61.5"/>
  </r>
  <r>
    <s v="USR-101229"/>
    <d v="2025-03-18T00:00:00"/>
    <x v="1"/>
    <x v="1"/>
    <x v="1"/>
    <x v="2"/>
    <s v="Free"/>
    <n v="0"/>
    <n v="0"/>
    <n v="0"/>
    <n v="0"/>
    <n v="0"/>
    <n v="0"/>
    <n v="0"/>
    <n v="0"/>
    <m/>
    <n v="45.3"/>
  </r>
  <r>
    <s v="USR-101230"/>
    <d v="2025-05-17T00:00:00"/>
    <x v="1"/>
    <x v="0"/>
    <x v="1"/>
    <x v="4"/>
    <s v="Free"/>
    <n v="1"/>
    <n v="0"/>
    <n v="0"/>
    <n v="0"/>
    <n v="0"/>
    <n v="0"/>
    <n v="0"/>
    <n v="0"/>
    <m/>
    <n v="37.299999999999997"/>
  </r>
  <r>
    <s v="USR-101231"/>
    <d v="2025-03-26T00:00:00"/>
    <x v="1"/>
    <x v="1"/>
    <x v="0"/>
    <x v="4"/>
    <s v="Premium"/>
    <n v="1"/>
    <n v="0"/>
    <n v="0"/>
    <n v="0"/>
    <n v="0"/>
    <n v="1"/>
    <n v="1"/>
    <n v="0"/>
    <m/>
    <n v="76.099999999999994"/>
  </r>
  <r>
    <s v="USR-101232"/>
    <d v="2025-03-30T00:00:00"/>
    <x v="1"/>
    <x v="2"/>
    <x v="1"/>
    <x v="1"/>
    <s v="Free"/>
    <n v="1"/>
    <n v="1"/>
    <n v="1"/>
    <n v="0"/>
    <n v="0"/>
    <n v="1"/>
    <n v="1"/>
    <n v="0"/>
    <m/>
    <n v="72.5"/>
  </r>
  <r>
    <s v="USR-101233"/>
    <d v="2025-02-25T00:00:00"/>
    <x v="1"/>
    <x v="2"/>
    <x v="0"/>
    <x v="1"/>
    <s v="Free"/>
    <n v="1"/>
    <n v="0"/>
    <n v="0"/>
    <n v="0"/>
    <n v="0"/>
    <n v="0"/>
    <n v="0"/>
    <n v="0"/>
    <m/>
    <n v="62.3"/>
  </r>
  <r>
    <s v="USR-101234"/>
    <d v="2025-03-01T00:00:00"/>
    <x v="1"/>
    <x v="2"/>
    <x v="0"/>
    <x v="4"/>
    <s v="Free"/>
    <n v="0"/>
    <n v="0"/>
    <n v="0"/>
    <n v="0"/>
    <n v="0"/>
    <n v="0"/>
    <n v="0"/>
    <n v="0"/>
    <m/>
    <n v="62.7"/>
  </r>
  <r>
    <s v="USR-101235"/>
    <d v="2025-05-27T00:00:00"/>
    <x v="1"/>
    <x v="0"/>
    <x v="1"/>
    <x v="2"/>
    <s v="Basic"/>
    <n v="0"/>
    <n v="0"/>
    <n v="0"/>
    <n v="0"/>
    <n v="0"/>
    <n v="0"/>
    <n v="0"/>
    <n v="0"/>
    <m/>
    <n v="82.4"/>
  </r>
  <r>
    <s v="USR-101236"/>
    <d v="2025-02-05T00:00:00"/>
    <x v="1"/>
    <x v="1"/>
    <x v="1"/>
    <x v="5"/>
    <s v="Premium"/>
    <n v="1"/>
    <n v="0"/>
    <n v="0"/>
    <n v="0"/>
    <n v="0"/>
    <n v="0"/>
    <n v="0"/>
    <n v="0"/>
    <m/>
    <n v="78.900000000000006"/>
  </r>
  <r>
    <s v="USR-101237"/>
    <d v="2025-01-25T00:00:00"/>
    <x v="1"/>
    <x v="1"/>
    <x v="0"/>
    <x v="0"/>
    <s v="Free"/>
    <n v="1"/>
    <n v="1"/>
    <n v="1"/>
    <n v="1"/>
    <n v="618.91"/>
    <n v="0"/>
    <n v="0"/>
    <n v="0"/>
    <n v="4"/>
    <n v="67.8"/>
  </r>
  <r>
    <s v="USR-101238"/>
    <d v="2025-04-10T00:00:00"/>
    <x v="1"/>
    <x v="2"/>
    <x v="1"/>
    <x v="1"/>
    <s v="Premium"/>
    <n v="1"/>
    <n v="0"/>
    <n v="0"/>
    <n v="0"/>
    <n v="0"/>
    <n v="0"/>
    <n v="0"/>
    <n v="0"/>
    <m/>
    <n v="68.8"/>
  </r>
  <r>
    <s v="USR-101239"/>
    <d v="2025-01-10T00:00:00"/>
    <x v="1"/>
    <x v="2"/>
    <x v="1"/>
    <x v="1"/>
    <s v="Premium"/>
    <n v="1"/>
    <n v="0"/>
    <n v="0"/>
    <n v="0"/>
    <n v="0"/>
    <n v="0"/>
    <n v="0"/>
    <n v="0"/>
    <m/>
    <n v="67.7"/>
  </r>
  <r>
    <s v="USR-101240"/>
    <d v="2025-02-23T00:00:00"/>
    <x v="1"/>
    <x v="2"/>
    <x v="1"/>
    <x v="5"/>
    <s v="Free"/>
    <n v="0"/>
    <n v="0"/>
    <n v="0"/>
    <n v="0"/>
    <n v="0"/>
    <n v="0"/>
    <n v="0"/>
    <n v="0"/>
    <m/>
    <n v="88"/>
  </r>
  <r>
    <s v="USR-101241"/>
    <d v="2025-05-23T00:00:00"/>
    <x v="1"/>
    <x v="1"/>
    <x v="0"/>
    <x v="1"/>
    <s v="Basic"/>
    <n v="1"/>
    <n v="1"/>
    <n v="0"/>
    <n v="0"/>
    <n v="0"/>
    <n v="0"/>
    <n v="0"/>
    <n v="0"/>
    <m/>
    <n v="80.099999999999994"/>
  </r>
  <r>
    <s v="USR-101242"/>
    <d v="2025-03-08T00:00:00"/>
    <x v="1"/>
    <x v="0"/>
    <x v="2"/>
    <x v="0"/>
    <s v="Basic"/>
    <n v="0"/>
    <n v="0"/>
    <n v="0"/>
    <n v="0"/>
    <n v="0"/>
    <n v="1"/>
    <n v="1"/>
    <n v="0"/>
    <m/>
    <n v="48.2"/>
  </r>
  <r>
    <s v="USR-101243"/>
    <d v="2025-05-21T00:00:00"/>
    <x v="1"/>
    <x v="2"/>
    <x v="1"/>
    <x v="1"/>
    <s v="Basic"/>
    <n v="1"/>
    <n v="0"/>
    <n v="0"/>
    <n v="0"/>
    <n v="0"/>
    <n v="0"/>
    <n v="0"/>
    <n v="0"/>
    <m/>
    <n v="52.7"/>
  </r>
  <r>
    <s v="USR-101244"/>
    <d v="2025-04-22T00:00:00"/>
    <x v="1"/>
    <x v="0"/>
    <x v="1"/>
    <x v="0"/>
    <s v="Basic"/>
    <n v="1"/>
    <n v="1"/>
    <n v="0"/>
    <n v="0"/>
    <n v="0"/>
    <n v="0"/>
    <n v="0"/>
    <n v="0"/>
    <m/>
    <n v="59.9"/>
  </r>
  <r>
    <s v="USR-101245"/>
    <d v="2025-04-16T00:00:00"/>
    <x v="1"/>
    <x v="0"/>
    <x v="1"/>
    <x v="0"/>
    <s v="Premium"/>
    <n v="1"/>
    <n v="0"/>
    <n v="0"/>
    <n v="0"/>
    <n v="0"/>
    <n v="0"/>
    <n v="0"/>
    <n v="0"/>
    <m/>
    <n v="49.5"/>
  </r>
  <r>
    <s v="USR-101246"/>
    <d v="2025-05-08T00:00:00"/>
    <x v="1"/>
    <x v="0"/>
    <x v="2"/>
    <x v="1"/>
    <s v="Free"/>
    <n v="1"/>
    <n v="0"/>
    <n v="0"/>
    <n v="0"/>
    <n v="0"/>
    <n v="0"/>
    <n v="0"/>
    <n v="0"/>
    <m/>
    <n v="41.5"/>
  </r>
  <r>
    <s v="USR-101247"/>
    <d v="2025-05-22T00:00:00"/>
    <x v="1"/>
    <x v="0"/>
    <x v="1"/>
    <x v="2"/>
    <s v="Basic"/>
    <n v="1"/>
    <n v="0"/>
    <n v="0"/>
    <n v="0"/>
    <n v="0"/>
    <n v="0"/>
    <n v="0"/>
    <n v="0"/>
    <m/>
    <n v="71.2"/>
  </r>
  <r>
    <s v="USR-101248"/>
    <d v="2025-03-21T00:00:00"/>
    <x v="1"/>
    <x v="0"/>
    <x v="1"/>
    <x v="3"/>
    <s v="Basic"/>
    <n v="1"/>
    <n v="1"/>
    <n v="1"/>
    <n v="0"/>
    <n v="0"/>
    <n v="0"/>
    <n v="0"/>
    <n v="0"/>
    <m/>
    <n v="65.8"/>
  </r>
  <r>
    <s v="USR-101249"/>
    <d v="2025-03-22T00:00:00"/>
    <x v="1"/>
    <x v="2"/>
    <x v="1"/>
    <x v="1"/>
    <s v="Basic"/>
    <n v="1"/>
    <n v="0"/>
    <n v="0"/>
    <n v="0"/>
    <n v="0"/>
    <n v="1"/>
    <n v="1"/>
    <n v="0"/>
    <m/>
    <n v="55.1"/>
  </r>
  <r>
    <s v="USR-101250"/>
    <d v="2025-01-10T00:00:00"/>
    <x v="1"/>
    <x v="1"/>
    <x v="0"/>
    <x v="4"/>
    <s v="Free"/>
    <n v="1"/>
    <n v="0"/>
    <n v="0"/>
    <n v="0"/>
    <n v="0"/>
    <n v="0"/>
    <n v="0"/>
    <n v="0"/>
    <m/>
    <n v="54.6"/>
  </r>
  <r>
    <s v="USR-101251"/>
    <d v="2025-02-01T00:00:00"/>
    <x v="1"/>
    <x v="2"/>
    <x v="1"/>
    <x v="1"/>
    <s v="Basic"/>
    <n v="1"/>
    <n v="1"/>
    <n v="1"/>
    <n v="1"/>
    <n v="923.67"/>
    <n v="0"/>
    <n v="0"/>
    <n v="0"/>
    <n v="4"/>
    <n v="81.900000000000006"/>
  </r>
  <r>
    <s v="USR-101252"/>
    <d v="2025-03-31T00:00:00"/>
    <x v="1"/>
    <x v="3"/>
    <x v="1"/>
    <x v="2"/>
    <s v="Basic"/>
    <n v="1"/>
    <n v="1"/>
    <n v="0"/>
    <n v="0"/>
    <n v="0"/>
    <n v="3"/>
    <n v="1"/>
    <n v="0"/>
    <m/>
    <n v="63.2"/>
  </r>
  <r>
    <s v="USR-101253"/>
    <d v="2025-04-25T00:00:00"/>
    <x v="1"/>
    <x v="0"/>
    <x v="1"/>
    <x v="2"/>
    <s v="Free"/>
    <n v="1"/>
    <n v="0"/>
    <n v="0"/>
    <n v="0"/>
    <n v="0"/>
    <n v="0"/>
    <n v="0"/>
    <n v="0"/>
    <m/>
    <n v="55.4"/>
  </r>
  <r>
    <s v="USR-101254"/>
    <d v="2025-05-02T00:00:00"/>
    <x v="1"/>
    <x v="1"/>
    <x v="1"/>
    <x v="4"/>
    <s v="Basic"/>
    <n v="0"/>
    <n v="0"/>
    <n v="0"/>
    <n v="0"/>
    <n v="0"/>
    <n v="0"/>
    <n v="0"/>
    <n v="0"/>
    <m/>
    <n v="87.5"/>
  </r>
  <r>
    <s v="USR-101255"/>
    <d v="2025-03-08T00:00:00"/>
    <x v="1"/>
    <x v="3"/>
    <x v="0"/>
    <x v="4"/>
    <s v="Basic"/>
    <n v="1"/>
    <n v="0"/>
    <n v="0"/>
    <n v="0"/>
    <n v="0"/>
    <n v="0"/>
    <n v="0"/>
    <n v="0"/>
    <m/>
    <n v="48.5"/>
  </r>
  <r>
    <s v="USR-101256"/>
    <d v="2025-01-27T00:00:00"/>
    <x v="1"/>
    <x v="2"/>
    <x v="0"/>
    <x v="5"/>
    <s v="Free"/>
    <n v="1"/>
    <n v="1"/>
    <n v="1"/>
    <n v="1"/>
    <n v="420.27"/>
    <n v="0"/>
    <n v="0"/>
    <n v="0"/>
    <n v="6"/>
    <n v="58.4"/>
  </r>
  <r>
    <s v="USR-101257"/>
    <d v="2025-04-27T00:00:00"/>
    <x v="1"/>
    <x v="1"/>
    <x v="1"/>
    <x v="2"/>
    <s v="Free"/>
    <n v="0"/>
    <n v="0"/>
    <n v="0"/>
    <n v="0"/>
    <n v="0"/>
    <n v="0"/>
    <n v="0"/>
    <n v="0"/>
    <m/>
    <n v="59.5"/>
  </r>
  <r>
    <s v="USR-101258"/>
    <d v="2025-01-16T00:00:00"/>
    <x v="1"/>
    <x v="1"/>
    <x v="0"/>
    <x v="2"/>
    <s v="Basic"/>
    <n v="1"/>
    <n v="0"/>
    <n v="0"/>
    <n v="0"/>
    <n v="0"/>
    <n v="0"/>
    <n v="0"/>
    <n v="0"/>
    <m/>
    <n v="93.2"/>
  </r>
  <r>
    <s v="USR-101259"/>
    <d v="2025-01-18T00:00:00"/>
    <x v="1"/>
    <x v="1"/>
    <x v="0"/>
    <x v="2"/>
    <s v="Basic"/>
    <n v="1"/>
    <n v="0"/>
    <n v="0"/>
    <n v="0"/>
    <n v="0"/>
    <n v="0"/>
    <n v="0"/>
    <n v="0"/>
    <m/>
    <n v="59"/>
  </r>
  <r>
    <s v="USR-101260"/>
    <d v="2025-03-21T00:00:00"/>
    <x v="1"/>
    <x v="0"/>
    <x v="1"/>
    <x v="1"/>
    <s v="Free"/>
    <n v="1"/>
    <n v="0"/>
    <n v="0"/>
    <n v="0"/>
    <n v="0"/>
    <n v="0"/>
    <n v="0"/>
    <n v="0"/>
    <m/>
    <n v="37"/>
  </r>
  <r>
    <s v="USR-101261"/>
    <d v="2025-04-02T00:00:00"/>
    <x v="1"/>
    <x v="0"/>
    <x v="0"/>
    <x v="2"/>
    <s v="Free"/>
    <n v="1"/>
    <n v="0"/>
    <n v="0"/>
    <n v="0"/>
    <n v="0"/>
    <n v="0"/>
    <n v="0"/>
    <n v="0"/>
    <m/>
    <n v="47.5"/>
  </r>
  <r>
    <s v="USR-101262"/>
    <d v="2025-02-16T00:00:00"/>
    <x v="1"/>
    <x v="1"/>
    <x v="0"/>
    <x v="1"/>
    <s v="Free"/>
    <n v="1"/>
    <n v="1"/>
    <n v="1"/>
    <n v="0"/>
    <n v="0"/>
    <n v="0"/>
    <n v="0"/>
    <n v="0"/>
    <m/>
    <n v="78.7"/>
  </r>
  <r>
    <s v="USR-101263"/>
    <d v="2025-02-18T00:00:00"/>
    <x v="1"/>
    <x v="0"/>
    <x v="1"/>
    <x v="4"/>
    <s v="Free"/>
    <n v="1"/>
    <n v="0"/>
    <n v="0"/>
    <n v="0"/>
    <n v="0"/>
    <n v="0"/>
    <n v="0"/>
    <n v="0"/>
    <m/>
    <n v="49.6"/>
  </r>
  <r>
    <s v="USR-101264"/>
    <d v="2025-01-09T00:00:00"/>
    <x v="1"/>
    <x v="2"/>
    <x v="1"/>
    <x v="1"/>
    <s v="Free"/>
    <n v="1"/>
    <n v="0"/>
    <n v="0"/>
    <n v="0"/>
    <n v="0"/>
    <n v="0"/>
    <n v="0"/>
    <n v="0"/>
    <m/>
    <n v="58"/>
  </r>
  <r>
    <s v="USR-101265"/>
    <d v="2025-02-18T00:00:00"/>
    <x v="1"/>
    <x v="0"/>
    <x v="0"/>
    <x v="2"/>
    <s v="Free"/>
    <n v="1"/>
    <n v="0"/>
    <n v="0"/>
    <n v="0"/>
    <n v="0"/>
    <n v="1"/>
    <n v="1"/>
    <n v="0"/>
    <m/>
    <n v="54.4"/>
  </r>
  <r>
    <s v="USR-101266"/>
    <d v="2025-01-10T00:00:00"/>
    <x v="1"/>
    <x v="2"/>
    <x v="1"/>
    <x v="3"/>
    <s v="Free"/>
    <n v="0"/>
    <n v="0"/>
    <n v="0"/>
    <n v="0"/>
    <n v="0"/>
    <n v="0"/>
    <n v="0"/>
    <n v="0"/>
    <m/>
    <n v="33.700000000000003"/>
  </r>
  <r>
    <s v="USR-101267"/>
    <d v="2025-03-08T00:00:00"/>
    <x v="1"/>
    <x v="1"/>
    <x v="1"/>
    <x v="0"/>
    <s v="Free"/>
    <n v="1"/>
    <n v="0"/>
    <n v="0"/>
    <n v="0"/>
    <n v="0"/>
    <n v="0"/>
    <n v="0"/>
    <n v="0"/>
    <m/>
    <n v="72.7"/>
  </r>
  <r>
    <s v="USR-101268"/>
    <d v="2025-04-16T00:00:00"/>
    <x v="1"/>
    <x v="2"/>
    <x v="0"/>
    <x v="2"/>
    <s v="Basic"/>
    <n v="0"/>
    <n v="0"/>
    <n v="0"/>
    <n v="0"/>
    <n v="0"/>
    <n v="0"/>
    <n v="0"/>
    <n v="0"/>
    <m/>
    <n v="64.7"/>
  </r>
  <r>
    <s v="USR-101269"/>
    <d v="2025-02-19T00:00:00"/>
    <x v="1"/>
    <x v="1"/>
    <x v="0"/>
    <x v="2"/>
    <s v="Premium"/>
    <n v="0"/>
    <n v="0"/>
    <n v="0"/>
    <n v="0"/>
    <n v="0"/>
    <n v="1"/>
    <n v="1"/>
    <n v="0"/>
    <m/>
    <n v="48.6"/>
  </r>
  <r>
    <s v="USR-101270"/>
    <d v="2025-03-16T00:00:00"/>
    <x v="1"/>
    <x v="2"/>
    <x v="0"/>
    <x v="4"/>
    <s v="Free"/>
    <n v="1"/>
    <n v="1"/>
    <n v="0"/>
    <n v="0"/>
    <n v="0"/>
    <n v="0"/>
    <n v="0"/>
    <n v="0"/>
    <m/>
    <n v="66.2"/>
  </r>
  <r>
    <s v="USR-101271"/>
    <d v="2025-02-03T00:00:00"/>
    <x v="1"/>
    <x v="1"/>
    <x v="3"/>
    <x v="3"/>
    <s v="Basic"/>
    <n v="1"/>
    <n v="0"/>
    <n v="0"/>
    <n v="0"/>
    <n v="0"/>
    <n v="1"/>
    <n v="1"/>
    <n v="0"/>
    <m/>
    <n v="60.7"/>
  </r>
  <r>
    <s v="USR-101272"/>
    <d v="2025-03-12T00:00:00"/>
    <x v="1"/>
    <x v="1"/>
    <x v="1"/>
    <x v="2"/>
    <s v="Basic"/>
    <n v="1"/>
    <n v="0"/>
    <n v="0"/>
    <n v="0"/>
    <n v="0"/>
    <n v="0"/>
    <n v="0"/>
    <n v="0"/>
    <m/>
    <n v="36.5"/>
  </r>
  <r>
    <s v="USR-101273"/>
    <d v="2025-05-09T00:00:00"/>
    <x v="1"/>
    <x v="1"/>
    <x v="1"/>
    <x v="4"/>
    <s v="Free"/>
    <n v="1"/>
    <n v="1"/>
    <n v="1"/>
    <n v="0"/>
    <n v="0"/>
    <n v="3"/>
    <n v="1"/>
    <n v="0"/>
    <m/>
    <n v="69.7"/>
  </r>
  <r>
    <s v="USR-101274"/>
    <d v="2025-01-19T00:00:00"/>
    <x v="1"/>
    <x v="3"/>
    <x v="0"/>
    <x v="4"/>
    <s v="Premium"/>
    <n v="1"/>
    <n v="0"/>
    <n v="0"/>
    <n v="0"/>
    <n v="0"/>
    <n v="0"/>
    <n v="0"/>
    <n v="0"/>
    <m/>
    <n v="81.8"/>
  </r>
  <r>
    <s v="USR-101275"/>
    <d v="2025-01-24T00:00:00"/>
    <x v="1"/>
    <x v="1"/>
    <x v="1"/>
    <x v="3"/>
    <s v="Free"/>
    <n v="1"/>
    <n v="1"/>
    <n v="1"/>
    <n v="0"/>
    <n v="0"/>
    <n v="1"/>
    <n v="1"/>
    <n v="0"/>
    <m/>
    <n v="78.3"/>
  </r>
  <r>
    <s v="USR-101276"/>
    <d v="2025-03-03T00:00:00"/>
    <x v="1"/>
    <x v="2"/>
    <x v="1"/>
    <x v="3"/>
    <s v="Free"/>
    <n v="1"/>
    <n v="1"/>
    <n v="0"/>
    <n v="0"/>
    <n v="0"/>
    <n v="0"/>
    <n v="0"/>
    <n v="0"/>
    <m/>
    <n v="79.400000000000006"/>
  </r>
  <r>
    <s v="USR-101277"/>
    <d v="2025-05-27T00:00:00"/>
    <x v="1"/>
    <x v="0"/>
    <x v="0"/>
    <x v="3"/>
    <s v="Free"/>
    <n v="1"/>
    <n v="1"/>
    <n v="1"/>
    <n v="0"/>
    <n v="0"/>
    <n v="0"/>
    <n v="0"/>
    <n v="0"/>
    <m/>
    <n v="54.9"/>
  </r>
  <r>
    <s v="USR-101278"/>
    <d v="2025-04-23T00:00:00"/>
    <x v="1"/>
    <x v="1"/>
    <x v="0"/>
    <x v="1"/>
    <s v="Basic"/>
    <n v="1"/>
    <n v="0"/>
    <n v="0"/>
    <n v="0"/>
    <n v="0"/>
    <n v="0"/>
    <n v="0"/>
    <n v="0"/>
    <m/>
    <n v="54.9"/>
  </r>
  <r>
    <s v="USR-101279"/>
    <d v="2025-02-10T00:00:00"/>
    <x v="1"/>
    <x v="2"/>
    <x v="0"/>
    <x v="4"/>
    <s v="Free"/>
    <n v="0"/>
    <n v="0"/>
    <n v="0"/>
    <n v="0"/>
    <n v="0"/>
    <n v="0"/>
    <n v="0"/>
    <n v="0"/>
    <m/>
    <n v="28.7"/>
  </r>
  <r>
    <s v="USR-101280"/>
    <d v="2025-02-11T00:00:00"/>
    <x v="1"/>
    <x v="0"/>
    <x v="1"/>
    <x v="1"/>
    <s v="Free"/>
    <n v="0"/>
    <n v="0"/>
    <n v="0"/>
    <n v="0"/>
    <n v="0"/>
    <n v="0"/>
    <n v="0"/>
    <n v="0"/>
    <m/>
    <n v="68.8"/>
  </r>
  <r>
    <s v="USR-101281"/>
    <d v="2025-01-21T00:00:00"/>
    <x v="1"/>
    <x v="2"/>
    <x v="0"/>
    <x v="2"/>
    <s v="Free"/>
    <n v="1"/>
    <n v="1"/>
    <n v="1"/>
    <n v="0"/>
    <n v="0"/>
    <n v="0"/>
    <n v="0"/>
    <n v="0"/>
    <m/>
    <n v="43.5"/>
  </r>
  <r>
    <s v="USR-101282"/>
    <d v="2025-02-02T00:00:00"/>
    <x v="1"/>
    <x v="1"/>
    <x v="0"/>
    <x v="4"/>
    <s v="Free"/>
    <n v="1"/>
    <n v="1"/>
    <n v="0"/>
    <n v="0"/>
    <n v="0"/>
    <n v="0"/>
    <n v="0"/>
    <n v="0"/>
    <m/>
    <n v="62.6"/>
  </r>
  <r>
    <s v="USR-101283"/>
    <d v="2025-02-02T00:00:00"/>
    <x v="1"/>
    <x v="1"/>
    <x v="1"/>
    <x v="1"/>
    <s v="Free"/>
    <n v="0"/>
    <n v="0"/>
    <n v="0"/>
    <n v="0"/>
    <n v="0"/>
    <n v="1"/>
    <n v="1"/>
    <n v="0"/>
    <m/>
    <n v="54.1"/>
  </r>
  <r>
    <s v="USR-101284"/>
    <d v="2025-02-26T00:00:00"/>
    <x v="1"/>
    <x v="1"/>
    <x v="2"/>
    <x v="4"/>
    <s v="Free"/>
    <n v="1"/>
    <n v="1"/>
    <n v="1"/>
    <n v="0"/>
    <n v="0"/>
    <n v="0"/>
    <n v="0"/>
    <n v="0"/>
    <m/>
    <n v="80.099999999999994"/>
  </r>
  <r>
    <s v="USR-101285"/>
    <d v="2025-04-22T00:00:00"/>
    <x v="1"/>
    <x v="0"/>
    <x v="1"/>
    <x v="4"/>
    <s v="Premium"/>
    <n v="1"/>
    <n v="0"/>
    <n v="0"/>
    <n v="0"/>
    <n v="0"/>
    <n v="0"/>
    <n v="0"/>
    <n v="0"/>
    <m/>
    <n v="69.5"/>
  </r>
  <r>
    <s v="USR-101286"/>
    <d v="2025-03-11T00:00:00"/>
    <x v="1"/>
    <x v="0"/>
    <x v="0"/>
    <x v="1"/>
    <s v="Basic"/>
    <n v="0"/>
    <n v="0"/>
    <n v="0"/>
    <n v="0"/>
    <n v="0"/>
    <n v="2"/>
    <n v="1"/>
    <n v="0"/>
    <m/>
    <n v="46.6"/>
  </r>
  <r>
    <s v="USR-101287"/>
    <d v="2025-05-08T00:00:00"/>
    <x v="1"/>
    <x v="3"/>
    <x v="1"/>
    <x v="1"/>
    <s v="Premium"/>
    <n v="1"/>
    <n v="0"/>
    <n v="0"/>
    <n v="0"/>
    <n v="0"/>
    <n v="1"/>
    <n v="1"/>
    <n v="0"/>
    <m/>
    <n v="54.9"/>
  </r>
  <r>
    <s v="USR-101288"/>
    <d v="2025-03-10T00:00:00"/>
    <x v="1"/>
    <x v="2"/>
    <x v="0"/>
    <x v="1"/>
    <s v="Free"/>
    <n v="0"/>
    <n v="0"/>
    <n v="0"/>
    <n v="0"/>
    <n v="0"/>
    <n v="0"/>
    <n v="0"/>
    <n v="0"/>
    <m/>
    <n v="100"/>
  </r>
  <r>
    <s v="USR-101289"/>
    <d v="2025-04-16T00:00:00"/>
    <x v="1"/>
    <x v="2"/>
    <x v="0"/>
    <x v="2"/>
    <s v="Free"/>
    <n v="1"/>
    <n v="1"/>
    <n v="1"/>
    <n v="0"/>
    <n v="0"/>
    <n v="1"/>
    <n v="1"/>
    <n v="0"/>
    <m/>
    <n v="80.5"/>
  </r>
  <r>
    <s v="USR-101290"/>
    <d v="2025-03-01T00:00:00"/>
    <x v="1"/>
    <x v="1"/>
    <x v="2"/>
    <x v="1"/>
    <s v="Basic"/>
    <n v="1"/>
    <n v="0"/>
    <n v="0"/>
    <n v="0"/>
    <n v="0"/>
    <n v="0"/>
    <n v="0"/>
    <n v="0"/>
    <m/>
    <n v="51.2"/>
  </r>
  <r>
    <s v="USR-101291"/>
    <d v="2025-01-18T00:00:00"/>
    <x v="1"/>
    <x v="3"/>
    <x v="0"/>
    <x v="1"/>
    <s v="Premium"/>
    <n v="1"/>
    <n v="0"/>
    <n v="0"/>
    <n v="0"/>
    <n v="0"/>
    <n v="0"/>
    <n v="0"/>
    <n v="0"/>
    <m/>
    <n v="42.5"/>
  </r>
  <r>
    <s v="USR-101292"/>
    <d v="2025-03-30T00:00:00"/>
    <x v="1"/>
    <x v="0"/>
    <x v="1"/>
    <x v="2"/>
    <s v="Free"/>
    <n v="0"/>
    <n v="0"/>
    <n v="0"/>
    <n v="0"/>
    <n v="0"/>
    <n v="0"/>
    <n v="0"/>
    <n v="0"/>
    <m/>
    <n v="72.5"/>
  </r>
  <r>
    <s v="USR-101293"/>
    <d v="2025-05-26T00:00:00"/>
    <x v="1"/>
    <x v="1"/>
    <x v="1"/>
    <x v="4"/>
    <s v="Premium"/>
    <n v="0"/>
    <n v="0"/>
    <n v="0"/>
    <n v="0"/>
    <n v="0"/>
    <n v="0"/>
    <n v="0"/>
    <n v="0"/>
    <m/>
    <n v="74.400000000000006"/>
  </r>
  <r>
    <s v="USR-101294"/>
    <d v="2025-03-19T00:00:00"/>
    <x v="1"/>
    <x v="2"/>
    <x v="0"/>
    <x v="4"/>
    <s v="Free"/>
    <n v="0"/>
    <n v="0"/>
    <n v="0"/>
    <n v="0"/>
    <n v="0"/>
    <n v="0"/>
    <n v="0"/>
    <n v="0"/>
    <m/>
    <n v="78.400000000000006"/>
  </r>
  <r>
    <s v="USR-101295"/>
    <d v="2025-03-28T00:00:00"/>
    <x v="1"/>
    <x v="0"/>
    <x v="0"/>
    <x v="3"/>
    <s v="Free"/>
    <n v="1"/>
    <n v="0"/>
    <n v="0"/>
    <n v="0"/>
    <n v="0"/>
    <n v="0"/>
    <n v="0"/>
    <n v="0"/>
    <m/>
    <n v="71.5"/>
  </r>
  <r>
    <s v="USR-101296"/>
    <d v="2025-05-28T00:00:00"/>
    <x v="1"/>
    <x v="3"/>
    <x v="0"/>
    <x v="4"/>
    <s v="Free"/>
    <n v="1"/>
    <n v="0"/>
    <n v="0"/>
    <n v="0"/>
    <n v="0"/>
    <n v="0"/>
    <n v="0"/>
    <n v="0"/>
    <m/>
    <n v="66.7"/>
  </r>
  <r>
    <s v="USR-101297"/>
    <d v="2025-05-31T00:00:00"/>
    <x v="1"/>
    <x v="3"/>
    <x v="0"/>
    <x v="3"/>
    <s v="Premium"/>
    <n v="1"/>
    <n v="1"/>
    <n v="1"/>
    <n v="1"/>
    <n v="1496.09"/>
    <n v="0"/>
    <n v="0"/>
    <n v="0"/>
    <n v="7"/>
    <n v="60.4"/>
  </r>
  <r>
    <s v="USR-101298"/>
    <d v="2025-05-10T00:00:00"/>
    <x v="1"/>
    <x v="0"/>
    <x v="1"/>
    <x v="3"/>
    <s v="Free"/>
    <n v="0"/>
    <n v="0"/>
    <n v="0"/>
    <n v="0"/>
    <n v="0"/>
    <n v="1"/>
    <n v="1"/>
    <n v="0"/>
    <m/>
    <n v="72.900000000000006"/>
  </r>
  <r>
    <s v="USR-101299"/>
    <d v="2025-05-17T00:00:00"/>
    <x v="1"/>
    <x v="1"/>
    <x v="1"/>
    <x v="1"/>
    <s v="Free"/>
    <n v="0"/>
    <n v="0"/>
    <n v="0"/>
    <n v="0"/>
    <n v="0"/>
    <n v="3"/>
    <n v="1"/>
    <n v="0"/>
    <m/>
    <m/>
  </r>
  <r>
    <s v="USR-101300"/>
    <d v="2025-01-18T00:00:00"/>
    <x v="1"/>
    <x v="3"/>
    <x v="1"/>
    <x v="1"/>
    <s v="Premium"/>
    <n v="1"/>
    <n v="0"/>
    <n v="0"/>
    <n v="0"/>
    <n v="0"/>
    <n v="0"/>
    <n v="0"/>
    <n v="0"/>
    <m/>
    <n v="55.2"/>
  </r>
  <r>
    <s v="USR-101301"/>
    <d v="2025-05-04T00:00:00"/>
    <x v="1"/>
    <x v="1"/>
    <x v="1"/>
    <x v="4"/>
    <s v="Free"/>
    <n v="1"/>
    <n v="0"/>
    <n v="0"/>
    <n v="0"/>
    <n v="0"/>
    <n v="0"/>
    <n v="0"/>
    <n v="0"/>
    <m/>
    <n v="67.8"/>
  </r>
  <r>
    <s v="USR-101302"/>
    <d v="2025-03-25T00:00:00"/>
    <x v="1"/>
    <x v="0"/>
    <x v="1"/>
    <x v="1"/>
    <s v="Free"/>
    <n v="1"/>
    <n v="0"/>
    <n v="0"/>
    <n v="0"/>
    <n v="0"/>
    <n v="2"/>
    <n v="1"/>
    <n v="0"/>
    <m/>
    <n v="70"/>
  </r>
  <r>
    <s v="USR-101303"/>
    <d v="2025-02-27T00:00:00"/>
    <x v="1"/>
    <x v="0"/>
    <x v="1"/>
    <x v="4"/>
    <s v="Basic"/>
    <n v="1"/>
    <n v="1"/>
    <n v="1"/>
    <n v="0"/>
    <n v="0"/>
    <n v="0"/>
    <n v="0"/>
    <n v="0"/>
    <m/>
    <n v="51.1"/>
  </r>
  <r>
    <s v="USR-101304"/>
    <d v="2025-01-14T00:00:00"/>
    <x v="1"/>
    <x v="1"/>
    <x v="1"/>
    <x v="2"/>
    <s v="Basic"/>
    <n v="1"/>
    <n v="1"/>
    <n v="1"/>
    <n v="0"/>
    <n v="0"/>
    <n v="0"/>
    <n v="0"/>
    <n v="0"/>
    <m/>
    <n v="57"/>
  </r>
  <r>
    <s v="USR-101305"/>
    <d v="2025-04-11T00:00:00"/>
    <x v="1"/>
    <x v="2"/>
    <x v="1"/>
    <x v="4"/>
    <s v="Free"/>
    <n v="0"/>
    <n v="0"/>
    <n v="0"/>
    <n v="0"/>
    <n v="0"/>
    <n v="1"/>
    <n v="1"/>
    <n v="0"/>
    <m/>
    <n v="47.1"/>
  </r>
  <r>
    <s v="USR-101306"/>
    <d v="2025-03-26T00:00:00"/>
    <x v="1"/>
    <x v="2"/>
    <x v="0"/>
    <x v="4"/>
    <s v="Basic"/>
    <n v="0"/>
    <n v="0"/>
    <n v="0"/>
    <n v="0"/>
    <n v="0"/>
    <n v="0"/>
    <n v="0"/>
    <n v="0"/>
    <m/>
    <n v="30.7"/>
  </r>
  <r>
    <s v="USR-101307"/>
    <d v="2025-02-12T00:00:00"/>
    <x v="1"/>
    <x v="1"/>
    <x v="0"/>
    <x v="4"/>
    <s v="Free"/>
    <n v="1"/>
    <n v="0"/>
    <n v="0"/>
    <n v="0"/>
    <n v="0"/>
    <n v="0"/>
    <n v="0"/>
    <n v="0"/>
    <m/>
    <n v="57.3"/>
  </r>
  <r>
    <s v="USR-101308"/>
    <d v="2025-02-18T00:00:00"/>
    <x v="1"/>
    <x v="1"/>
    <x v="2"/>
    <x v="2"/>
    <s v="Basic"/>
    <n v="1"/>
    <n v="0"/>
    <n v="0"/>
    <n v="0"/>
    <n v="0"/>
    <n v="0"/>
    <n v="0"/>
    <n v="0"/>
    <m/>
    <n v="70"/>
  </r>
  <r>
    <s v="USR-101309"/>
    <d v="2025-05-25T00:00:00"/>
    <x v="1"/>
    <x v="2"/>
    <x v="0"/>
    <x v="4"/>
    <s v="Free"/>
    <n v="1"/>
    <n v="1"/>
    <n v="1"/>
    <n v="0"/>
    <n v="0"/>
    <n v="0"/>
    <n v="0"/>
    <n v="0"/>
    <m/>
    <n v="59.7"/>
  </r>
  <r>
    <s v="USR-101310"/>
    <d v="2025-05-23T00:00:00"/>
    <x v="1"/>
    <x v="2"/>
    <x v="0"/>
    <x v="2"/>
    <s v="Basic"/>
    <n v="1"/>
    <n v="0"/>
    <n v="0"/>
    <n v="0"/>
    <n v="0"/>
    <n v="0"/>
    <n v="0"/>
    <n v="0"/>
    <m/>
    <n v="68.8"/>
  </r>
  <r>
    <s v="USR-101311"/>
    <d v="2025-01-16T00:00:00"/>
    <x v="1"/>
    <x v="0"/>
    <x v="0"/>
    <x v="1"/>
    <s v="Free"/>
    <n v="1"/>
    <n v="1"/>
    <n v="1"/>
    <n v="1"/>
    <n v="428.37"/>
    <n v="0"/>
    <n v="0"/>
    <n v="0"/>
    <n v="9"/>
    <n v="88.3"/>
  </r>
  <r>
    <s v="USR-101312"/>
    <d v="2025-01-19T00:00:00"/>
    <x v="1"/>
    <x v="1"/>
    <x v="0"/>
    <x v="0"/>
    <s v="Basic"/>
    <n v="0"/>
    <n v="0"/>
    <n v="0"/>
    <n v="0"/>
    <n v="0"/>
    <n v="0"/>
    <n v="0"/>
    <n v="0"/>
    <m/>
    <n v="83.4"/>
  </r>
  <r>
    <s v="USR-101313"/>
    <d v="2025-05-18T00:00:00"/>
    <x v="1"/>
    <x v="3"/>
    <x v="1"/>
    <x v="3"/>
    <s v="Free"/>
    <n v="0"/>
    <n v="0"/>
    <n v="0"/>
    <n v="0"/>
    <n v="0"/>
    <n v="1"/>
    <n v="1"/>
    <n v="0"/>
    <m/>
    <n v="81.599999999999994"/>
  </r>
  <r>
    <s v="USR-101314"/>
    <d v="2025-01-23T00:00:00"/>
    <x v="1"/>
    <x v="2"/>
    <x v="2"/>
    <x v="4"/>
    <s v="Premium"/>
    <n v="1"/>
    <n v="0"/>
    <n v="0"/>
    <n v="0"/>
    <n v="0"/>
    <n v="0"/>
    <n v="0"/>
    <n v="0"/>
    <m/>
    <n v="91.6"/>
  </r>
  <r>
    <s v="USR-101315"/>
    <d v="2025-01-08T00:00:00"/>
    <x v="1"/>
    <x v="2"/>
    <x v="2"/>
    <x v="5"/>
    <s v="Premium"/>
    <n v="1"/>
    <n v="1"/>
    <n v="1"/>
    <n v="0"/>
    <n v="0"/>
    <n v="1"/>
    <n v="1"/>
    <n v="0"/>
    <m/>
    <n v="61.5"/>
  </r>
  <r>
    <s v="USR-101316"/>
    <d v="2025-02-19T00:00:00"/>
    <x v="1"/>
    <x v="0"/>
    <x v="1"/>
    <x v="1"/>
    <s v="Premium"/>
    <n v="0"/>
    <n v="0"/>
    <n v="0"/>
    <n v="0"/>
    <n v="0"/>
    <n v="0"/>
    <n v="0"/>
    <n v="0"/>
    <m/>
    <m/>
  </r>
  <r>
    <s v="USR-101317"/>
    <d v="2025-02-10T00:00:00"/>
    <x v="1"/>
    <x v="3"/>
    <x v="1"/>
    <x v="1"/>
    <s v="Free"/>
    <n v="1"/>
    <n v="0"/>
    <n v="0"/>
    <n v="0"/>
    <n v="0"/>
    <n v="0"/>
    <n v="0"/>
    <n v="0"/>
    <m/>
    <n v="32.6"/>
  </r>
  <r>
    <s v="USR-101318"/>
    <d v="2025-04-13T00:00:00"/>
    <x v="1"/>
    <x v="3"/>
    <x v="1"/>
    <x v="2"/>
    <s v="Free"/>
    <n v="1"/>
    <n v="0"/>
    <n v="0"/>
    <n v="0"/>
    <n v="0"/>
    <n v="0"/>
    <n v="0"/>
    <n v="0"/>
    <m/>
    <n v="73.900000000000006"/>
  </r>
  <r>
    <s v="USR-101319"/>
    <d v="2025-05-20T00:00:00"/>
    <x v="1"/>
    <x v="2"/>
    <x v="1"/>
    <x v="1"/>
    <s v="Free"/>
    <n v="1"/>
    <n v="1"/>
    <n v="1"/>
    <n v="1"/>
    <n v="444.06"/>
    <n v="0"/>
    <n v="0"/>
    <n v="0"/>
    <n v="9"/>
    <n v="99.9"/>
  </r>
  <r>
    <s v="USR-101320"/>
    <d v="2025-05-13T00:00:00"/>
    <x v="1"/>
    <x v="3"/>
    <x v="1"/>
    <x v="2"/>
    <s v="Basic"/>
    <n v="1"/>
    <n v="1"/>
    <n v="0"/>
    <n v="0"/>
    <n v="0"/>
    <n v="1"/>
    <n v="1"/>
    <n v="0"/>
    <m/>
    <n v="62.4"/>
  </r>
  <r>
    <s v="USR-101321"/>
    <d v="2025-05-28T00:00:00"/>
    <x v="1"/>
    <x v="3"/>
    <x v="0"/>
    <x v="2"/>
    <s v="Basic"/>
    <n v="1"/>
    <n v="0"/>
    <n v="0"/>
    <n v="0"/>
    <n v="0"/>
    <n v="0"/>
    <n v="0"/>
    <n v="0"/>
    <m/>
    <n v="46.1"/>
  </r>
  <r>
    <s v="USR-101322"/>
    <d v="2025-03-19T00:00:00"/>
    <x v="1"/>
    <x v="1"/>
    <x v="1"/>
    <x v="1"/>
    <s v="Free"/>
    <n v="1"/>
    <n v="1"/>
    <n v="1"/>
    <n v="1"/>
    <n v="2660.21"/>
    <n v="0"/>
    <n v="0"/>
    <n v="0"/>
    <n v="3"/>
    <n v="73.900000000000006"/>
  </r>
  <r>
    <s v="USR-101323"/>
    <d v="2025-02-03T00:00:00"/>
    <x v="1"/>
    <x v="0"/>
    <x v="1"/>
    <x v="0"/>
    <s v="Premium"/>
    <n v="0"/>
    <n v="0"/>
    <n v="0"/>
    <n v="0"/>
    <n v="0"/>
    <n v="0"/>
    <n v="0"/>
    <n v="0"/>
    <m/>
    <n v="90"/>
  </r>
  <r>
    <s v="USR-101324"/>
    <d v="2025-02-26T00:00:00"/>
    <x v="1"/>
    <x v="3"/>
    <x v="1"/>
    <x v="0"/>
    <s v="Basic"/>
    <n v="1"/>
    <n v="0"/>
    <n v="0"/>
    <n v="0"/>
    <n v="0"/>
    <n v="1"/>
    <n v="1"/>
    <n v="0"/>
    <m/>
    <n v="68.8"/>
  </r>
  <r>
    <s v="USR-101325"/>
    <d v="2025-01-26T00:00:00"/>
    <x v="1"/>
    <x v="1"/>
    <x v="1"/>
    <x v="2"/>
    <s v="Free"/>
    <n v="1"/>
    <n v="0"/>
    <n v="0"/>
    <n v="0"/>
    <n v="0"/>
    <n v="0"/>
    <n v="0"/>
    <n v="0"/>
    <m/>
    <n v="66.599999999999994"/>
  </r>
  <r>
    <s v="USR-101326"/>
    <d v="2025-05-13T00:00:00"/>
    <x v="1"/>
    <x v="0"/>
    <x v="1"/>
    <x v="1"/>
    <s v="Premium"/>
    <n v="1"/>
    <n v="0"/>
    <n v="0"/>
    <n v="0"/>
    <n v="0"/>
    <n v="0"/>
    <n v="0"/>
    <n v="0"/>
    <m/>
    <n v="49.7"/>
  </r>
  <r>
    <s v="USR-101327"/>
    <d v="2025-02-02T00:00:00"/>
    <x v="1"/>
    <x v="3"/>
    <x v="1"/>
    <x v="2"/>
    <s v="Basic"/>
    <n v="0"/>
    <n v="0"/>
    <n v="0"/>
    <n v="0"/>
    <n v="0"/>
    <n v="0"/>
    <n v="0"/>
    <n v="0"/>
    <m/>
    <n v="67.900000000000006"/>
  </r>
  <r>
    <s v="USR-101328"/>
    <d v="2025-04-30T00:00:00"/>
    <x v="1"/>
    <x v="1"/>
    <x v="1"/>
    <x v="5"/>
    <s v="Basic"/>
    <n v="0"/>
    <n v="0"/>
    <n v="0"/>
    <n v="0"/>
    <n v="0"/>
    <n v="0"/>
    <n v="0"/>
    <n v="0"/>
    <m/>
    <n v="66.900000000000006"/>
  </r>
  <r>
    <s v="USR-101329"/>
    <d v="2025-03-29T00:00:00"/>
    <x v="1"/>
    <x v="2"/>
    <x v="1"/>
    <x v="1"/>
    <s v="Free"/>
    <n v="0"/>
    <n v="0"/>
    <n v="0"/>
    <n v="0"/>
    <n v="0"/>
    <n v="0"/>
    <n v="0"/>
    <n v="0"/>
    <m/>
    <n v="46.1"/>
  </r>
  <r>
    <s v="USR-101330"/>
    <d v="2025-04-09T00:00:00"/>
    <x v="1"/>
    <x v="1"/>
    <x v="0"/>
    <x v="3"/>
    <s v="Premium"/>
    <n v="1"/>
    <n v="0"/>
    <n v="0"/>
    <n v="0"/>
    <n v="0"/>
    <n v="0"/>
    <n v="0"/>
    <n v="0"/>
    <m/>
    <n v="85.6"/>
  </r>
  <r>
    <s v="USR-101331"/>
    <d v="2025-01-22T00:00:00"/>
    <x v="1"/>
    <x v="3"/>
    <x v="2"/>
    <x v="1"/>
    <s v="Free"/>
    <n v="0"/>
    <n v="0"/>
    <n v="0"/>
    <n v="0"/>
    <n v="0"/>
    <n v="0"/>
    <n v="0"/>
    <n v="0"/>
    <m/>
    <n v="39.6"/>
  </r>
  <r>
    <s v="USR-101332"/>
    <d v="2025-01-27T00:00:00"/>
    <x v="1"/>
    <x v="3"/>
    <x v="1"/>
    <x v="1"/>
    <s v="Basic"/>
    <n v="1"/>
    <n v="0"/>
    <n v="0"/>
    <n v="0"/>
    <n v="0"/>
    <n v="0"/>
    <n v="0"/>
    <n v="0"/>
    <m/>
    <n v="52.5"/>
  </r>
  <r>
    <s v="USR-101333"/>
    <d v="2025-01-22T00:00:00"/>
    <x v="1"/>
    <x v="2"/>
    <x v="1"/>
    <x v="4"/>
    <s v="Premium"/>
    <n v="1"/>
    <n v="0"/>
    <n v="0"/>
    <n v="0"/>
    <n v="0"/>
    <n v="0"/>
    <n v="0"/>
    <n v="0"/>
    <m/>
    <n v="73.5"/>
  </r>
  <r>
    <s v="USR-101334"/>
    <d v="2025-01-06T00:00:00"/>
    <x v="1"/>
    <x v="1"/>
    <x v="0"/>
    <x v="2"/>
    <s v="Free"/>
    <n v="0"/>
    <n v="0"/>
    <n v="0"/>
    <n v="0"/>
    <n v="0"/>
    <n v="0"/>
    <n v="0"/>
    <n v="0"/>
    <m/>
    <n v="62.5"/>
  </r>
  <r>
    <s v="USR-101335"/>
    <d v="2025-04-16T00:00:00"/>
    <x v="1"/>
    <x v="3"/>
    <x v="3"/>
    <x v="1"/>
    <s v="Free"/>
    <n v="1"/>
    <n v="0"/>
    <n v="0"/>
    <n v="0"/>
    <n v="0"/>
    <n v="0"/>
    <n v="0"/>
    <n v="0"/>
    <m/>
    <n v="76.900000000000006"/>
  </r>
  <r>
    <s v="USR-101336"/>
    <d v="2025-04-14T00:00:00"/>
    <x v="1"/>
    <x v="3"/>
    <x v="1"/>
    <x v="1"/>
    <s v="Free"/>
    <n v="1"/>
    <n v="0"/>
    <n v="0"/>
    <n v="0"/>
    <n v="0"/>
    <n v="0"/>
    <n v="0"/>
    <n v="0"/>
    <m/>
    <n v="51.4"/>
  </r>
  <r>
    <s v="USR-101337"/>
    <d v="2025-02-22T00:00:00"/>
    <x v="1"/>
    <x v="1"/>
    <x v="1"/>
    <x v="2"/>
    <s v="Basic"/>
    <n v="1"/>
    <n v="0"/>
    <n v="0"/>
    <n v="0"/>
    <n v="0"/>
    <n v="0"/>
    <n v="0"/>
    <n v="0"/>
    <m/>
    <n v="59.3"/>
  </r>
  <r>
    <s v="USR-101338"/>
    <d v="2025-03-09T00:00:00"/>
    <x v="1"/>
    <x v="0"/>
    <x v="1"/>
    <x v="1"/>
    <s v="Basic"/>
    <n v="0"/>
    <n v="0"/>
    <n v="0"/>
    <n v="0"/>
    <n v="0"/>
    <n v="0"/>
    <n v="0"/>
    <n v="0"/>
    <m/>
    <n v="74.900000000000006"/>
  </r>
  <r>
    <s v="USR-101339"/>
    <d v="2025-04-20T00:00:00"/>
    <x v="1"/>
    <x v="1"/>
    <x v="0"/>
    <x v="1"/>
    <s v="Free"/>
    <n v="1"/>
    <n v="0"/>
    <n v="0"/>
    <n v="0"/>
    <n v="0"/>
    <n v="0"/>
    <n v="0"/>
    <n v="0"/>
    <m/>
    <n v="67"/>
  </r>
  <r>
    <s v="USR-101340"/>
    <d v="2025-03-10T00:00:00"/>
    <x v="1"/>
    <x v="3"/>
    <x v="1"/>
    <x v="0"/>
    <s v="Free"/>
    <n v="0"/>
    <n v="0"/>
    <n v="0"/>
    <n v="0"/>
    <n v="0"/>
    <n v="0"/>
    <n v="0"/>
    <n v="0"/>
    <m/>
    <n v="63.6"/>
  </r>
  <r>
    <s v="USR-101341"/>
    <d v="2025-02-21T00:00:00"/>
    <x v="1"/>
    <x v="3"/>
    <x v="1"/>
    <x v="0"/>
    <s v="Free"/>
    <n v="1"/>
    <n v="1"/>
    <n v="0"/>
    <n v="0"/>
    <n v="0"/>
    <n v="1"/>
    <n v="1"/>
    <n v="0"/>
    <m/>
    <n v="58.4"/>
  </r>
  <r>
    <s v="USR-101342"/>
    <d v="2025-01-06T00:00:00"/>
    <x v="1"/>
    <x v="0"/>
    <x v="0"/>
    <x v="4"/>
    <s v="Free"/>
    <n v="1"/>
    <n v="0"/>
    <n v="0"/>
    <n v="0"/>
    <n v="0"/>
    <n v="0"/>
    <n v="0"/>
    <n v="0"/>
    <m/>
    <n v="36.799999999999997"/>
  </r>
  <r>
    <s v="USR-101343"/>
    <d v="2025-04-17T00:00:00"/>
    <x v="1"/>
    <x v="3"/>
    <x v="1"/>
    <x v="1"/>
    <s v="Premium"/>
    <n v="1"/>
    <n v="0"/>
    <n v="0"/>
    <n v="0"/>
    <n v="0"/>
    <n v="0"/>
    <n v="0"/>
    <n v="0"/>
    <m/>
    <n v="71.599999999999994"/>
  </r>
  <r>
    <s v="USR-101344"/>
    <d v="2025-05-23T00:00:00"/>
    <x v="1"/>
    <x v="3"/>
    <x v="1"/>
    <x v="0"/>
    <s v="Basic"/>
    <n v="1"/>
    <n v="1"/>
    <n v="0"/>
    <n v="0"/>
    <n v="0"/>
    <n v="1"/>
    <n v="1"/>
    <n v="0"/>
    <m/>
    <n v="79.7"/>
  </r>
  <r>
    <s v="USR-101345"/>
    <d v="2025-03-14T00:00:00"/>
    <x v="1"/>
    <x v="1"/>
    <x v="0"/>
    <x v="1"/>
    <s v="Basic"/>
    <n v="1"/>
    <n v="0"/>
    <n v="0"/>
    <n v="0"/>
    <n v="0"/>
    <n v="1"/>
    <n v="1"/>
    <n v="0"/>
    <m/>
    <n v="56.5"/>
  </r>
  <r>
    <s v="USR-101346"/>
    <d v="2025-04-21T00:00:00"/>
    <x v="1"/>
    <x v="0"/>
    <x v="1"/>
    <x v="4"/>
    <s v="Premium"/>
    <n v="1"/>
    <n v="0"/>
    <n v="0"/>
    <n v="0"/>
    <n v="0"/>
    <n v="0"/>
    <n v="0"/>
    <n v="0"/>
    <m/>
    <n v="44.7"/>
  </r>
  <r>
    <s v="USR-101347"/>
    <d v="2025-01-03T00:00:00"/>
    <x v="1"/>
    <x v="3"/>
    <x v="1"/>
    <x v="4"/>
    <s v="Free"/>
    <n v="1"/>
    <n v="1"/>
    <n v="1"/>
    <n v="0"/>
    <n v="0"/>
    <n v="1"/>
    <n v="1"/>
    <n v="0"/>
    <m/>
    <n v="66"/>
  </r>
  <r>
    <s v="USR-101348"/>
    <d v="2025-05-09T00:00:00"/>
    <x v="1"/>
    <x v="0"/>
    <x v="0"/>
    <x v="1"/>
    <s v="Basic"/>
    <n v="1"/>
    <n v="0"/>
    <n v="0"/>
    <n v="0"/>
    <n v="0"/>
    <n v="0"/>
    <n v="0"/>
    <n v="0"/>
    <m/>
    <n v="73"/>
  </r>
  <r>
    <s v="USR-101349"/>
    <d v="2025-05-22T00:00:00"/>
    <x v="1"/>
    <x v="3"/>
    <x v="1"/>
    <x v="1"/>
    <s v="Basic"/>
    <n v="1"/>
    <n v="1"/>
    <n v="1"/>
    <n v="0"/>
    <n v="0"/>
    <n v="1"/>
    <n v="1"/>
    <n v="0"/>
    <m/>
    <n v="72.5"/>
  </r>
  <r>
    <s v="USR-101350"/>
    <d v="2025-05-07T00:00:00"/>
    <x v="1"/>
    <x v="3"/>
    <x v="0"/>
    <x v="2"/>
    <s v="Free"/>
    <n v="1"/>
    <n v="1"/>
    <n v="1"/>
    <n v="1"/>
    <n v="323.60000000000002"/>
    <n v="0"/>
    <n v="0"/>
    <n v="0"/>
    <n v="6"/>
    <n v="100"/>
  </r>
  <r>
    <s v="USR-101351"/>
    <d v="2025-02-08T00:00:00"/>
    <x v="1"/>
    <x v="2"/>
    <x v="1"/>
    <x v="4"/>
    <s v="Free"/>
    <n v="0"/>
    <n v="0"/>
    <n v="0"/>
    <n v="0"/>
    <n v="0"/>
    <n v="1"/>
    <n v="1"/>
    <n v="0"/>
    <m/>
    <n v="90.5"/>
  </r>
  <r>
    <s v="USR-101352"/>
    <d v="2025-04-03T00:00:00"/>
    <x v="1"/>
    <x v="0"/>
    <x v="2"/>
    <x v="4"/>
    <s v="Basic"/>
    <n v="1"/>
    <n v="0"/>
    <n v="0"/>
    <n v="0"/>
    <n v="0"/>
    <n v="0"/>
    <n v="0"/>
    <n v="0"/>
    <m/>
    <n v="70.2"/>
  </r>
  <r>
    <s v="USR-101353"/>
    <d v="2025-04-17T00:00:00"/>
    <x v="1"/>
    <x v="2"/>
    <x v="0"/>
    <x v="2"/>
    <s v="Free"/>
    <n v="1"/>
    <n v="0"/>
    <n v="0"/>
    <n v="0"/>
    <n v="0"/>
    <n v="1"/>
    <n v="1"/>
    <n v="0"/>
    <m/>
    <n v="67.099999999999994"/>
  </r>
  <r>
    <s v="USR-101354"/>
    <d v="2025-05-04T00:00:00"/>
    <x v="1"/>
    <x v="2"/>
    <x v="1"/>
    <x v="1"/>
    <s v="Free"/>
    <n v="0"/>
    <n v="0"/>
    <n v="0"/>
    <n v="0"/>
    <n v="0"/>
    <n v="0"/>
    <n v="0"/>
    <n v="0"/>
    <m/>
    <n v="54.5"/>
  </r>
  <r>
    <s v="USR-101355"/>
    <d v="2025-05-11T00:00:00"/>
    <x v="1"/>
    <x v="1"/>
    <x v="0"/>
    <x v="1"/>
    <s v="Free"/>
    <n v="1"/>
    <n v="0"/>
    <n v="0"/>
    <n v="0"/>
    <n v="0"/>
    <n v="0"/>
    <n v="0"/>
    <n v="0"/>
    <m/>
    <n v="63.4"/>
  </r>
  <r>
    <s v="USR-101356"/>
    <d v="2025-03-01T00:00:00"/>
    <x v="1"/>
    <x v="0"/>
    <x v="0"/>
    <x v="5"/>
    <s v="Free"/>
    <n v="1"/>
    <n v="1"/>
    <n v="1"/>
    <n v="0"/>
    <n v="0"/>
    <n v="0"/>
    <n v="0"/>
    <n v="0"/>
    <m/>
    <n v="84.3"/>
  </r>
  <r>
    <s v="USR-101357"/>
    <d v="2025-02-20T00:00:00"/>
    <x v="1"/>
    <x v="1"/>
    <x v="0"/>
    <x v="1"/>
    <s v="Free"/>
    <n v="1"/>
    <n v="0"/>
    <n v="0"/>
    <n v="0"/>
    <n v="0"/>
    <n v="1"/>
    <n v="1"/>
    <n v="0"/>
    <m/>
    <n v="55"/>
  </r>
  <r>
    <s v="USR-101358"/>
    <d v="2025-05-09T00:00:00"/>
    <x v="1"/>
    <x v="1"/>
    <x v="1"/>
    <x v="4"/>
    <s v="Free"/>
    <n v="1"/>
    <n v="0"/>
    <n v="0"/>
    <n v="0"/>
    <n v="0"/>
    <n v="0"/>
    <n v="0"/>
    <n v="0"/>
    <m/>
    <n v="63.6"/>
  </r>
  <r>
    <s v="USR-101359"/>
    <d v="2025-04-30T00:00:00"/>
    <x v="1"/>
    <x v="1"/>
    <x v="1"/>
    <x v="1"/>
    <s v="Free"/>
    <n v="1"/>
    <n v="0"/>
    <n v="0"/>
    <n v="0"/>
    <n v="0"/>
    <n v="0"/>
    <n v="0"/>
    <n v="0"/>
    <m/>
    <n v="55.5"/>
  </r>
  <r>
    <s v="USR-101360"/>
    <d v="2025-01-07T00:00:00"/>
    <x v="1"/>
    <x v="3"/>
    <x v="1"/>
    <x v="4"/>
    <s v="Basic"/>
    <n v="0"/>
    <n v="0"/>
    <n v="0"/>
    <n v="0"/>
    <n v="0"/>
    <n v="0"/>
    <n v="0"/>
    <n v="0"/>
    <m/>
    <n v="50.5"/>
  </r>
  <r>
    <s v="USR-101361"/>
    <d v="2025-04-30T00:00:00"/>
    <x v="1"/>
    <x v="0"/>
    <x v="1"/>
    <x v="4"/>
    <s v="Basic"/>
    <n v="1"/>
    <n v="0"/>
    <n v="0"/>
    <n v="0"/>
    <n v="0"/>
    <n v="0"/>
    <n v="0"/>
    <n v="0"/>
    <m/>
    <n v="45.3"/>
  </r>
  <r>
    <s v="USR-101362"/>
    <d v="2025-05-23T00:00:00"/>
    <x v="1"/>
    <x v="2"/>
    <x v="1"/>
    <x v="1"/>
    <s v="Basic"/>
    <n v="1"/>
    <n v="0"/>
    <n v="0"/>
    <n v="0"/>
    <n v="0"/>
    <n v="0"/>
    <n v="0"/>
    <n v="0"/>
    <m/>
    <n v="33.6"/>
  </r>
  <r>
    <s v="USR-101363"/>
    <d v="2025-03-12T00:00:00"/>
    <x v="1"/>
    <x v="3"/>
    <x v="1"/>
    <x v="2"/>
    <s v="Premium"/>
    <n v="1"/>
    <n v="1"/>
    <n v="1"/>
    <n v="0"/>
    <n v="0"/>
    <n v="0"/>
    <n v="0"/>
    <n v="0"/>
    <m/>
    <n v="88.2"/>
  </r>
  <r>
    <s v="USR-101364"/>
    <d v="2025-02-17T00:00:00"/>
    <x v="1"/>
    <x v="0"/>
    <x v="1"/>
    <x v="1"/>
    <s v="Premium"/>
    <n v="1"/>
    <n v="0"/>
    <n v="0"/>
    <n v="0"/>
    <n v="0"/>
    <n v="0"/>
    <n v="0"/>
    <n v="0"/>
    <m/>
    <n v="51.8"/>
  </r>
  <r>
    <s v="USR-101365"/>
    <d v="2025-05-27T00:00:00"/>
    <x v="1"/>
    <x v="0"/>
    <x v="0"/>
    <x v="1"/>
    <s v="Basic"/>
    <n v="0"/>
    <n v="0"/>
    <n v="0"/>
    <n v="0"/>
    <n v="0"/>
    <n v="0"/>
    <n v="0"/>
    <n v="0"/>
    <m/>
    <n v="87.9"/>
  </r>
  <r>
    <s v="USR-101366"/>
    <d v="2025-05-10T00:00:00"/>
    <x v="1"/>
    <x v="3"/>
    <x v="1"/>
    <x v="4"/>
    <s v="Premium"/>
    <n v="1"/>
    <n v="0"/>
    <n v="0"/>
    <n v="0"/>
    <n v="0"/>
    <n v="2"/>
    <n v="1"/>
    <n v="0"/>
    <m/>
    <n v="70.5"/>
  </r>
  <r>
    <s v="USR-101367"/>
    <d v="2025-01-20T00:00:00"/>
    <x v="1"/>
    <x v="0"/>
    <x v="1"/>
    <x v="1"/>
    <s v="Basic"/>
    <n v="1"/>
    <n v="1"/>
    <n v="0"/>
    <n v="0"/>
    <n v="0"/>
    <n v="2"/>
    <n v="1"/>
    <n v="0"/>
    <m/>
    <n v="58.5"/>
  </r>
  <r>
    <s v="USR-101368"/>
    <d v="2025-01-19T00:00:00"/>
    <x v="1"/>
    <x v="2"/>
    <x v="1"/>
    <x v="3"/>
    <s v="Free"/>
    <n v="1"/>
    <n v="0"/>
    <n v="0"/>
    <n v="0"/>
    <n v="0"/>
    <n v="0"/>
    <n v="0"/>
    <n v="0"/>
    <m/>
    <n v="65.599999999999994"/>
  </r>
  <r>
    <s v="USR-101369"/>
    <d v="2025-03-07T00:00:00"/>
    <x v="1"/>
    <x v="1"/>
    <x v="0"/>
    <x v="2"/>
    <s v="Basic"/>
    <n v="1"/>
    <n v="1"/>
    <n v="0"/>
    <n v="0"/>
    <n v="0"/>
    <n v="0"/>
    <n v="0"/>
    <n v="0"/>
    <m/>
    <n v="62.7"/>
  </r>
  <r>
    <s v="USR-101370"/>
    <d v="2025-02-02T00:00:00"/>
    <x v="1"/>
    <x v="2"/>
    <x v="1"/>
    <x v="1"/>
    <s v="Free"/>
    <n v="0"/>
    <n v="0"/>
    <n v="0"/>
    <n v="0"/>
    <n v="0"/>
    <n v="1"/>
    <n v="1"/>
    <n v="0"/>
    <m/>
    <n v="50.9"/>
  </r>
  <r>
    <s v="USR-101371"/>
    <d v="2025-03-07T00:00:00"/>
    <x v="1"/>
    <x v="0"/>
    <x v="1"/>
    <x v="1"/>
    <s v="Free"/>
    <n v="0"/>
    <n v="0"/>
    <n v="0"/>
    <n v="0"/>
    <n v="0"/>
    <n v="1"/>
    <n v="1"/>
    <n v="0"/>
    <m/>
    <n v="60.6"/>
  </r>
  <r>
    <s v="USR-101372"/>
    <d v="2025-03-30T00:00:00"/>
    <x v="1"/>
    <x v="2"/>
    <x v="0"/>
    <x v="1"/>
    <s v="Free"/>
    <n v="1"/>
    <n v="1"/>
    <n v="1"/>
    <n v="0"/>
    <n v="0"/>
    <n v="0"/>
    <n v="0"/>
    <n v="0"/>
    <m/>
    <n v="76.599999999999994"/>
  </r>
  <r>
    <s v="USR-101373"/>
    <d v="2025-05-05T00:00:00"/>
    <x v="1"/>
    <x v="2"/>
    <x v="0"/>
    <x v="2"/>
    <s v="Free"/>
    <n v="1"/>
    <n v="1"/>
    <n v="1"/>
    <n v="0"/>
    <n v="0"/>
    <n v="0"/>
    <n v="0"/>
    <n v="0"/>
    <m/>
    <n v="54.4"/>
  </r>
  <r>
    <s v="USR-101374"/>
    <d v="2025-04-11T00:00:00"/>
    <x v="1"/>
    <x v="3"/>
    <x v="1"/>
    <x v="4"/>
    <s v="Free"/>
    <n v="1"/>
    <n v="0"/>
    <n v="0"/>
    <n v="0"/>
    <n v="0"/>
    <n v="0"/>
    <n v="0"/>
    <n v="0"/>
    <m/>
    <n v="31.2"/>
  </r>
  <r>
    <s v="USR-101375"/>
    <d v="2025-03-25T00:00:00"/>
    <x v="1"/>
    <x v="1"/>
    <x v="0"/>
    <x v="0"/>
    <s v="Premium"/>
    <n v="1"/>
    <n v="0"/>
    <n v="0"/>
    <n v="0"/>
    <n v="0"/>
    <n v="0"/>
    <n v="0"/>
    <n v="0"/>
    <m/>
    <n v="72.400000000000006"/>
  </r>
  <r>
    <s v="USR-101376"/>
    <d v="2025-03-24T00:00:00"/>
    <x v="1"/>
    <x v="0"/>
    <x v="1"/>
    <x v="1"/>
    <s v="Premium"/>
    <n v="1"/>
    <n v="0"/>
    <n v="0"/>
    <n v="0"/>
    <n v="0"/>
    <n v="0"/>
    <n v="0"/>
    <n v="0"/>
    <m/>
    <n v="74.5"/>
  </r>
  <r>
    <s v="USR-101377"/>
    <d v="2025-04-27T00:00:00"/>
    <x v="1"/>
    <x v="2"/>
    <x v="1"/>
    <x v="1"/>
    <s v="Basic"/>
    <n v="0"/>
    <n v="0"/>
    <n v="0"/>
    <n v="0"/>
    <n v="0"/>
    <n v="0"/>
    <n v="0"/>
    <n v="0"/>
    <m/>
    <n v="52.6"/>
  </r>
  <r>
    <s v="USR-101378"/>
    <d v="2025-01-25T00:00:00"/>
    <x v="1"/>
    <x v="0"/>
    <x v="0"/>
    <x v="2"/>
    <s v="Free"/>
    <n v="1"/>
    <n v="0"/>
    <n v="0"/>
    <n v="0"/>
    <n v="0"/>
    <n v="0"/>
    <n v="0"/>
    <n v="0"/>
    <m/>
    <n v="75.400000000000006"/>
  </r>
  <r>
    <s v="USR-101379"/>
    <d v="2025-02-17T00:00:00"/>
    <x v="1"/>
    <x v="0"/>
    <x v="2"/>
    <x v="4"/>
    <s v="Basic"/>
    <n v="1"/>
    <n v="1"/>
    <n v="1"/>
    <n v="1"/>
    <n v="751.33"/>
    <n v="0"/>
    <n v="0"/>
    <n v="0"/>
    <n v="9"/>
    <n v="34"/>
  </r>
  <r>
    <s v="USR-101380"/>
    <d v="2025-04-13T00:00:00"/>
    <x v="1"/>
    <x v="3"/>
    <x v="0"/>
    <x v="1"/>
    <s v="Free"/>
    <n v="1"/>
    <n v="0"/>
    <n v="0"/>
    <n v="0"/>
    <n v="0"/>
    <n v="0"/>
    <n v="0"/>
    <n v="0"/>
    <m/>
    <n v="67.099999999999994"/>
  </r>
  <r>
    <s v="USR-101381"/>
    <d v="2025-05-03T00:00:00"/>
    <x v="1"/>
    <x v="1"/>
    <x v="0"/>
    <x v="2"/>
    <s v="Premium"/>
    <n v="1"/>
    <n v="0"/>
    <n v="0"/>
    <n v="0"/>
    <n v="0"/>
    <n v="0"/>
    <n v="0"/>
    <n v="0"/>
    <m/>
    <n v="37.299999999999997"/>
  </r>
  <r>
    <s v="USR-101382"/>
    <d v="2025-04-29T00:00:00"/>
    <x v="1"/>
    <x v="1"/>
    <x v="1"/>
    <x v="0"/>
    <s v="Free"/>
    <n v="1"/>
    <n v="0"/>
    <n v="0"/>
    <n v="0"/>
    <n v="0"/>
    <n v="0"/>
    <n v="0"/>
    <n v="0"/>
    <m/>
    <n v="54.7"/>
  </r>
  <r>
    <s v="USR-101383"/>
    <d v="2025-05-03T00:00:00"/>
    <x v="1"/>
    <x v="2"/>
    <x v="0"/>
    <x v="2"/>
    <s v="Free"/>
    <n v="1"/>
    <n v="0"/>
    <n v="0"/>
    <n v="0"/>
    <n v="0"/>
    <n v="0"/>
    <n v="0"/>
    <n v="0"/>
    <m/>
    <n v="51.8"/>
  </r>
  <r>
    <s v="USR-101384"/>
    <d v="2025-04-28T00:00:00"/>
    <x v="1"/>
    <x v="1"/>
    <x v="1"/>
    <x v="2"/>
    <s v="Free"/>
    <n v="0"/>
    <n v="0"/>
    <n v="0"/>
    <n v="0"/>
    <n v="0"/>
    <n v="0"/>
    <n v="0"/>
    <n v="0"/>
    <m/>
    <n v="49.2"/>
  </r>
  <r>
    <s v="USR-101385"/>
    <d v="2025-01-21T00:00:00"/>
    <x v="1"/>
    <x v="1"/>
    <x v="1"/>
    <x v="1"/>
    <s v="Free"/>
    <n v="1"/>
    <n v="0"/>
    <n v="0"/>
    <n v="0"/>
    <n v="0"/>
    <n v="2"/>
    <n v="1"/>
    <n v="0"/>
    <m/>
    <n v="58.8"/>
  </r>
  <r>
    <s v="USR-101386"/>
    <d v="2025-01-21T00:00:00"/>
    <x v="1"/>
    <x v="0"/>
    <x v="2"/>
    <x v="2"/>
    <s v="Basic"/>
    <n v="0"/>
    <n v="0"/>
    <n v="0"/>
    <n v="0"/>
    <n v="0"/>
    <n v="1"/>
    <n v="1"/>
    <n v="0"/>
    <m/>
    <n v="59.1"/>
  </r>
  <r>
    <s v="USR-101387"/>
    <d v="2025-05-21T00:00:00"/>
    <x v="1"/>
    <x v="1"/>
    <x v="0"/>
    <x v="2"/>
    <s v="Free"/>
    <n v="1"/>
    <n v="0"/>
    <n v="0"/>
    <n v="0"/>
    <n v="0"/>
    <n v="2"/>
    <n v="1"/>
    <n v="0"/>
    <m/>
    <n v="49.6"/>
  </r>
  <r>
    <s v="USR-101388"/>
    <d v="2025-01-05T00:00:00"/>
    <x v="1"/>
    <x v="0"/>
    <x v="1"/>
    <x v="3"/>
    <s v="Free"/>
    <n v="0"/>
    <n v="0"/>
    <n v="0"/>
    <n v="0"/>
    <n v="0"/>
    <n v="0"/>
    <n v="0"/>
    <n v="0"/>
    <m/>
    <n v="58.2"/>
  </r>
  <r>
    <s v="USR-101389"/>
    <d v="2025-03-06T00:00:00"/>
    <x v="1"/>
    <x v="3"/>
    <x v="0"/>
    <x v="1"/>
    <s v="Free"/>
    <n v="1"/>
    <n v="0"/>
    <n v="0"/>
    <n v="0"/>
    <n v="0"/>
    <n v="0"/>
    <n v="0"/>
    <n v="0"/>
    <m/>
    <n v="66.8"/>
  </r>
  <r>
    <s v="USR-101390"/>
    <d v="2025-04-18T00:00:00"/>
    <x v="1"/>
    <x v="0"/>
    <x v="1"/>
    <x v="2"/>
    <s v="Free"/>
    <n v="1"/>
    <n v="0"/>
    <n v="0"/>
    <n v="0"/>
    <n v="0"/>
    <n v="3"/>
    <n v="1"/>
    <n v="0"/>
    <m/>
    <n v="58.3"/>
  </r>
  <r>
    <s v="USR-101391"/>
    <d v="2025-04-15T00:00:00"/>
    <x v="1"/>
    <x v="1"/>
    <x v="1"/>
    <x v="1"/>
    <s v="Basic"/>
    <n v="1"/>
    <n v="1"/>
    <n v="1"/>
    <n v="0"/>
    <n v="0"/>
    <n v="0"/>
    <n v="0"/>
    <n v="0"/>
    <m/>
    <n v="38.5"/>
  </r>
  <r>
    <s v="USR-101392"/>
    <d v="2025-02-10T00:00:00"/>
    <x v="1"/>
    <x v="2"/>
    <x v="1"/>
    <x v="2"/>
    <s v="Free"/>
    <n v="1"/>
    <n v="0"/>
    <n v="0"/>
    <n v="0"/>
    <n v="0"/>
    <n v="0"/>
    <n v="0"/>
    <n v="0"/>
    <m/>
    <n v="76.900000000000006"/>
  </r>
  <r>
    <s v="USR-101393"/>
    <d v="2025-05-08T00:00:00"/>
    <x v="1"/>
    <x v="2"/>
    <x v="1"/>
    <x v="1"/>
    <s v="Free"/>
    <n v="1"/>
    <n v="0"/>
    <n v="0"/>
    <n v="0"/>
    <n v="0"/>
    <n v="0"/>
    <n v="0"/>
    <n v="0"/>
    <m/>
    <n v="54"/>
  </r>
  <r>
    <s v="USR-101394"/>
    <d v="2025-05-28T00:00:00"/>
    <x v="1"/>
    <x v="2"/>
    <x v="2"/>
    <x v="1"/>
    <s v="Free"/>
    <n v="1"/>
    <n v="0"/>
    <n v="0"/>
    <n v="0"/>
    <n v="0"/>
    <n v="0"/>
    <n v="0"/>
    <n v="0"/>
    <m/>
    <n v="70.599999999999994"/>
  </r>
  <r>
    <s v="USR-101395"/>
    <d v="2025-04-25T00:00:00"/>
    <x v="1"/>
    <x v="0"/>
    <x v="2"/>
    <x v="3"/>
    <s v="Premium"/>
    <n v="1"/>
    <n v="1"/>
    <n v="1"/>
    <n v="0"/>
    <n v="0"/>
    <n v="1"/>
    <n v="1"/>
    <n v="0"/>
    <m/>
    <n v="69.400000000000006"/>
  </r>
  <r>
    <s v="USR-101396"/>
    <d v="2025-02-11T00:00:00"/>
    <x v="1"/>
    <x v="3"/>
    <x v="1"/>
    <x v="5"/>
    <s v="Premium"/>
    <n v="1"/>
    <n v="1"/>
    <n v="1"/>
    <n v="1"/>
    <n v="1009.9"/>
    <n v="0"/>
    <n v="0"/>
    <n v="0"/>
    <n v="6"/>
    <n v="89.7"/>
  </r>
  <r>
    <s v="USR-101397"/>
    <d v="2025-04-14T00:00:00"/>
    <x v="1"/>
    <x v="1"/>
    <x v="1"/>
    <x v="1"/>
    <s v="Free"/>
    <n v="1"/>
    <n v="0"/>
    <n v="0"/>
    <n v="0"/>
    <n v="0"/>
    <n v="0"/>
    <n v="0"/>
    <n v="0"/>
    <m/>
    <n v="62.4"/>
  </r>
  <r>
    <s v="USR-101398"/>
    <d v="2025-02-04T00:00:00"/>
    <x v="1"/>
    <x v="1"/>
    <x v="2"/>
    <x v="1"/>
    <s v="Premium"/>
    <n v="0"/>
    <n v="0"/>
    <n v="0"/>
    <n v="0"/>
    <n v="0"/>
    <n v="0"/>
    <n v="0"/>
    <n v="0"/>
    <m/>
    <n v="67.3"/>
  </r>
  <r>
    <s v="USR-101399"/>
    <d v="2025-03-22T00:00:00"/>
    <x v="1"/>
    <x v="2"/>
    <x v="1"/>
    <x v="3"/>
    <s v="Free"/>
    <n v="1"/>
    <n v="0"/>
    <n v="0"/>
    <n v="0"/>
    <n v="0"/>
    <n v="0"/>
    <n v="0"/>
    <n v="0"/>
    <m/>
    <n v="54.9"/>
  </r>
  <r>
    <s v="USR-101400"/>
    <d v="2025-04-18T00:00:00"/>
    <x v="1"/>
    <x v="2"/>
    <x v="0"/>
    <x v="4"/>
    <s v="Free"/>
    <n v="0"/>
    <n v="0"/>
    <n v="0"/>
    <n v="0"/>
    <n v="0"/>
    <n v="0"/>
    <n v="0"/>
    <n v="0"/>
    <m/>
    <n v="55.7"/>
  </r>
  <r>
    <s v="USR-100917"/>
    <d v="2025-02-23T00:00:00"/>
    <x v="1"/>
    <x v="1"/>
    <x v="0"/>
    <x v="4"/>
    <s v="Basic"/>
    <n v="1"/>
    <n v="1"/>
    <n v="1"/>
    <n v="0"/>
    <n v="0"/>
    <n v="0"/>
    <n v="0"/>
    <n v="0"/>
    <m/>
    <n v="70.599999999999994"/>
  </r>
  <r>
    <s v="USR-100433"/>
    <d v="2025-02-03T00:00:00"/>
    <x v="0"/>
    <x v="0"/>
    <x v="2"/>
    <x v="0"/>
    <s v="Basic"/>
    <n v="1"/>
    <n v="0"/>
    <n v="0"/>
    <n v="0"/>
    <n v="0"/>
    <n v="0"/>
    <n v="0"/>
    <n v="0"/>
    <m/>
    <n v="60.9"/>
  </r>
  <r>
    <s v="USR-101362"/>
    <d v="2025-05-23T00:00:00"/>
    <x v="1"/>
    <x v="2"/>
    <x v="1"/>
    <x v="1"/>
    <s v="Basic"/>
    <n v="1"/>
    <n v="0"/>
    <n v="0"/>
    <n v="0"/>
    <n v="0"/>
    <n v="0"/>
    <n v="0"/>
    <n v="0"/>
    <m/>
    <n v="33.6"/>
  </r>
  <r>
    <s v="USR-100096"/>
    <d v="2025-02-05T00:00:00"/>
    <x v="0"/>
    <x v="2"/>
    <x v="1"/>
    <x v="4"/>
    <s v="Free"/>
    <n v="0"/>
    <n v="0"/>
    <n v="0"/>
    <n v="0"/>
    <n v="0"/>
    <n v="0"/>
    <n v="0"/>
    <n v="0"/>
    <m/>
    <n v="68"/>
  </r>
  <r>
    <s v="USR-101210"/>
    <d v="2025-02-24T00:00:00"/>
    <x v="1"/>
    <x v="1"/>
    <x v="1"/>
    <x v="1"/>
    <s v="Basic"/>
    <n v="1"/>
    <n v="0"/>
    <n v="0"/>
    <n v="0"/>
    <n v="0"/>
    <n v="0"/>
    <n v="0"/>
    <n v="0"/>
    <m/>
    <n v="62"/>
  </r>
  <r>
    <s v="USR-101232"/>
    <d v="2025-03-30T00:00:00"/>
    <x v="1"/>
    <x v="2"/>
    <x v="1"/>
    <x v="1"/>
    <s v="Free"/>
    <n v="1"/>
    <n v="1"/>
    <n v="1"/>
    <n v="0"/>
    <n v="0"/>
    <n v="1"/>
    <n v="1"/>
    <n v="0"/>
    <m/>
    <n v="72.5"/>
  </r>
  <r>
    <s v="USR-101059"/>
    <d v="2025-05-16T00:00:00"/>
    <x v="1"/>
    <x v="3"/>
    <x v="1"/>
    <x v="1"/>
    <s v="Free"/>
    <n v="1"/>
    <n v="0"/>
    <n v="0"/>
    <n v="0"/>
    <n v="0"/>
    <n v="0"/>
    <n v="0"/>
    <n v="0"/>
    <m/>
    <n v="70.3"/>
  </r>
  <r>
    <s v="USR-100541"/>
    <d v="2025-05-22T00:00:00"/>
    <x v="0"/>
    <x v="0"/>
    <x v="1"/>
    <x v="2"/>
    <s v="Basic"/>
    <n v="1"/>
    <n v="1"/>
    <n v="0"/>
    <n v="0"/>
    <n v="0"/>
    <n v="0"/>
    <n v="0"/>
    <n v="0"/>
    <m/>
    <n v="3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7C5A59-078D-4E8B-80B9-9F70534170B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D46" firstHeaderRow="1" firstDataRow="2" firstDataCol="1"/>
  <pivotFields count="17">
    <pivotField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Fields count="1">
    <field x="2"/>
  </colFields>
  <colItems count="3">
    <i>
      <x/>
    </i>
    <i>
      <x v="1"/>
    </i>
    <i t="grand">
      <x/>
    </i>
  </colItems>
  <dataFields count="1">
    <dataField name="Average of engagement_score" fld="1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58180-93F8-4179-B26A-8CF47138D59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G29" firstHeaderRow="1" firstDataRow="3" firstDataCol="1"/>
  <pivotFields count="17">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5">
    <i>
      <x/>
    </i>
    <i>
      <x v="1"/>
    </i>
    <i>
      <x v="2"/>
    </i>
    <i>
      <x v="3"/>
    </i>
    <i t="grand">
      <x/>
    </i>
  </rowItems>
  <colFields count="2">
    <field x="2"/>
    <field x="-2"/>
  </colFields>
  <colItems count="6">
    <i>
      <x/>
      <x/>
    </i>
    <i r="1" i="1">
      <x v="1"/>
    </i>
    <i>
      <x v="1"/>
      <x/>
    </i>
    <i r="1" i="1">
      <x v="1"/>
    </i>
    <i t="grand">
      <x/>
    </i>
    <i t="grand" i="1">
      <x/>
    </i>
  </colItems>
  <dataFields count="2">
    <dataField name="Sum of Has_Support_Ticket" fld="13"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F39ACF-5268-4585-98D1-EBE2BAEB691C}"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3" firstDataCol="1"/>
  <pivotFields count="17">
    <pivotField dataField="1" showAll="0"/>
    <pivotField numFmtId="164" showAll="0"/>
    <pivotField axis="axisCol" showAll="0">
      <items count="3">
        <item x="0"/>
        <item x="1"/>
        <item t="default"/>
      </items>
    </pivotField>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5">
    <i>
      <x/>
    </i>
    <i>
      <x v="1"/>
    </i>
    <i>
      <x v="2"/>
    </i>
    <i>
      <x v="3"/>
    </i>
    <i t="grand">
      <x/>
    </i>
  </rowItems>
  <colFields count="2">
    <field x="2"/>
    <field x="-2"/>
  </colFields>
  <colItems count="6">
    <i>
      <x/>
      <x/>
    </i>
    <i r="1" i="1">
      <x v="1"/>
    </i>
    <i>
      <x v="1"/>
      <x/>
    </i>
    <i r="1" i="1">
      <x v="1"/>
    </i>
    <i t="grand">
      <x/>
    </i>
    <i t="grand" i="1">
      <x/>
    </i>
  </colItems>
  <dataFields count="2">
    <dataField name="Sum of converted_to_paid" fld="10"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275978-4B97-4EF5-A816-B034E8D96E79}"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D44" firstHeaderRow="1" firstDataRow="2" firstDataCol="1"/>
  <pivotFields count="17">
    <pivotField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i>
    <i>
      <x v="1"/>
    </i>
    <i>
      <x v="2"/>
    </i>
    <i>
      <x v="3"/>
    </i>
    <i t="grand">
      <x/>
    </i>
  </rowItems>
  <colFields count="1">
    <field x="2"/>
  </colFields>
  <colItems count="3">
    <i>
      <x/>
    </i>
    <i>
      <x v="1"/>
    </i>
    <i t="grand">
      <x/>
    </i>
  </colItems>
  <dataFields count="1">
    <dataField name="Average of engagement_score" fld="16" subtotal="average" baseField="4"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7A7FE-0357-4930-8562-61B1B130F6C3}"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G28" firstHeaderRow="1" firstDataRow="3" firstDataCol="1"/>
  <pivotFields count="17">
    <pivotField dataField="1"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Fields count="2">
    <field x="2"/>
    <field x="-2"/>
  </colFields>
  <colItems count="6">
    <i>
      <x/>
      <x/>
    </i>
    <i r="1" i="1">
      <x v="1"/>
    </i>
    <i>
      <x v="1"/>
      <x/>
    </i>
    <i r="1" i="1">
      <x v="1"/>
    </i>
    <i t="grand">
      <x/>
    </i>
    <i t="grand" i="1">
      <x/>
    </i>
  </colItems>
  <dataFields count="2">
    <dataField name="Sum of Has_Support_Ticket" fld="13"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0FAC7E-3FD9-4620-85BA-DB504B61FC45}"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G11" firstHeaderRow="1" firstDataRow="3" firstDataCol="1"/>
  <pivotFields count="17">
    <pivotField dataField="1" showAll="0"/>
    <pivotField numFmtId="164" showAll="0"/>
    <pivotField axis="axisCol" showAll="0">
      <items count="3">
        <item x="0"/>
        <item x="1"/>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5">
    <i>
      <x/>
    </i>
    <i>
      <x v="1"/>
    </i>
    <i>
      <x v="2"/>
    </i>
    <i>
      <x v="3"/>
    </i>
    <i t="grand">
      <x/>
    </i>
  </rowItems>
  <colFields count="2">
    <field x="2"/>
    <field x="-2"/>
  </colFields>
  <colItems count="6">
    <i>
      <x/>
      <x/>
    </i>
    <i r="1" i="1">
      <x v="1"/>
    </i>
    <i>
      <x v="1"/>
      <x/>
    </i>
    <i r="1" i="1">
      <x v="1"/>
    </i>
    <i t="grand">
      <x/>
    </i>
    <i t="grand" i="1">
      <x/>
    </i>
  </colItems>
  <dataFields count="2">
    <dataField name="Sum of converted_to_paid" fld="10"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FB61E9-CDAD-4E5C-AFCE-FE999775A301}"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D50" firstHeaderRow="1" firstDataRow="2" firstDataCol="1"/>
  <pivotFields count="17">
    <pivotField showAll="0"/>
    <pivotField numFmtId="164" showAll="0"/>
    <pivotField axis="axisCol" showAll="0">
      <items count="3">
        <item x="0"/>
        <item x="1"/>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7">
    <i>
      <x/>
    </i>
    <i>
      <x v="1"/>
    </i>
    <i>
      <x v="2"/>
    </i>
    <i>
      <x v="3"/>
    </i>
    <i>
      <x v="4"/>
    </i>
    <i>
      <x v="5"/>
    </i>
    <i t="grand">
      <x/>
    </i>
  </rowItems>
  <colFields count="1">
    <field x="2"/>
  </colFields>
  <colItems count="3">
    <i>
      <x/>
    </i>
    <i>
      <x v="1"/>
    </i>
    <i t="grand">
      <x/>
    </i>
  </colItems>
  <dataFields count="1">
    <dataField name="Average of engagement_score"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30F97-D910-4403-BD77-5B370681A47A}"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G31" firstHeaderRow="1" firstDataRow="3" firstDataCol="1"/>
  <pivotFields count="17">
    <pivotField dataField="1" showAll="0"/>
    <pivotField numFmtId="164" showAll="0"/>
    <pivotField axis="axisCol" showAll="0">
      <items count="3">
        <item x="0"/>
        <item x="1"/>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7">
    <i>
      <x/>
    </i>
    <i>
      <x v="1"/>
    </i>
    <i>
      <x v="2"/>
    </i>
    <i>
      <x v="3"/>
    </i>
    <i>
      <x v="4"/>
    </i>
    <i>
      <x v="5"/>
    </i>
    <i t="grand">
      <x/>
    </i>
  </rowItems>
  <colFields count="2">
    <field x="2"/>
    <field x="-2"/>
  </colFields>
  <colItems count="6">
    <i>
      <x/>
      <x/>
    </i>
    <i r="1" i="1">
      <x v="1"/>
    </i>
    <i>
      <x v="1"/>
      <x/>
    </i>
    <i r="1" i="1">
      <x v="1"/>
    </i>
    <i t="grand">
      <x/>
    </i>
    <i t="grand" i="1">
      <x/>
    </i>
  </colItems>
  <dataFields count="2">
    <dataField name="Sum of Has_Support_Ticket" fld="13"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7D28A9-4742-444D-9B50-849F169308B4}"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1" firstDataRow="3" firstDataCol="1"/>
  <pivotFields count="17">
    <pivotField dataField="1" showAll="0"/>
    <pivotField numFmtId="164" showAll="0"/>
    <pivotField axis="axisCol" showAll="0">
      <items count="3">
        <item x="0"/>
        <item x="1"/>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2">
    <field x="2"/>
    <field x="-2"/>
  </colFields>
  <colItems count="6">
    <i>
      <x/>
      <x/>
    </i>
    <i r="1" i="1">
      <x v="1"/>
    </i>
    <i>
      <x v="1"/>
      <x/>
    </i>
    <i r="1" i="1">
      <x v="1"/>
    </i>
    <i t="grand">
      <x/>
    </i>
    <i t="grand" i="1">
      <x/>
    </i>
  </colItems>
  <dataFields count="2">
    <dataField name="Sum of converted_to_paid" fld="10" baseField="0" baseItem="0"/>
    <dataField name="Count of us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62FC-78D9-493E-A97A-A013CD1D38FA}">
  <dimension ref="A5:D17"/>
  <sheetViews>
    <sheetView topLeftCell="A4" workbookViewId="0">
      <selection activeCell="D14" sqref="D14:D15"/>
    </sheetView>
  </sheetViews>
  <sheetFormatPr defaultRowHeight="14.5"/>
  <cols>
    <col min="1" max="1" width="31" bestFit="1" customWidth="1"/>
    <col min="2" max="3" width="11.81640625" bestFit="1" customWidth="1"/>
    <col min="4" max="4" width="12.453125" bestFit="1" customWidth="1"/>
  </cols>
  <sheetData>
    <row r="5" spans="1:4">
      <c r="A5" s="6" t="s">
        <v>15</v>
      </c>
      <c r="B5" s="6"/>
      <c r="C5" s="6"/>
      <c r="D5" s="6"/>
    </row>
    <row r="6" spans="1:4">
      <c r="A6" s="5" t="s">
        <v>0</v>
      </c>
      <c r="B6" s="5" t="s">
        <v>1</v>
      </c>
      <c r="C6" s="5" t="s">
        <v>2</v>
      </c>
      <c r="D6" s="5" t="s">
        <v>3</v>
      </c>
    </row>
    <row r="7" spans="1:4">
      <c r="A7" s="1" t="s">
        <v>4</v>
      </c>
      <c r="B7" s="1">
        <v>693</v>
      </c>
      <c r="C7" s="1">
        <v>715</v>
      </c>
      <c r="D7" s="1">
        <f>C7-B7</f>
        <v>22</v>
      </c>
    </row>
    <row r="8" spans="1:4">
      <c r="A8" s="1" t="s">
        <v>5</v>
      </c>
      <c r="B8" s="2">
        <v>0.63636363636363635</v>
      </c>
      <c r="C8" s="2">
        <v>0.72587412587412592</v>
      </c>
      <c r="D8" s="3">
        <f t="shared" ref="D8:D17" si="0">C8-B8</f>
        <v>8.9510489510489566E-2</v>
      </c>
    </row>
    <row r="9" spans="1:4">
      <c r="A9" s="1" t="s">
        <v>6</v>
      </c>
      <c r="B9" s="2">
        <v>0.25108225108225107</v>
      </c>
      <c r="C9" s="3">
        <v>0.29090909090909089</v>
      </c>
      <c r="D9" s="3">
        <f t="shared" si="0"/>
        <v>3.9826839826839822E-2</v>
      </c>
    </row>
    <row r="10" spans="1:4">
      <c r="A10" s="1" t="s">
        <v>7</v>
      </c>
      <c r="B10" s="3">
        <v>0.15584415584415584</v>
      </c>
      <c r="C10" s="3">
        <v>0.21258741258741259</v>
      </c>
      <c r="D10" s="3">
        <f t="shared" si="0"/>
        <v>5.6743256743256754E-2</v>
      </c>
    </row>
    <row r="11" spans="1:4">
      <c r="A11" s="1" t="s">
        <v>8</v>
      </c>
      <c r="B11" s="3">
        <v>3.1746031746031744E-2</v>
      </c>
      <c r="C11" s="3">
        <v>6.9930069930069935E-2</v>
      </c>
      <c r="D11" s="3">
        <f t="shared" si="0"/>
        <v>3.8184038184038191E-2</v>
      </c>
    </row>
    <row r="12" spans="1:4">
      <c r="A12" s="1" t="s">
        <v>9</v>
      </c>
      <c r="B12" s="4">
        <v>51.74932178932179</v>
      </c>
      <c r="C12" s="4">
        <v>53.875118881118873</v>
      </c>
      <c r="D12" s="1">
        <f t="shared" si="0"/>
        <v>2.1257970917970823</v>
      </c>
    </row>
    <row r="13" spans="1:4">
      <c r="A13" s="1" t="s">
        <v>10</v>
      </c>
      <c r="B13" s="1">
        <v>1630.1036363636363</v>
      </c>
      <c r="C13" s="1">
        <v>770.41419999999982</v>
      </c>
      <c r="D13" s="1">
        <f t="shared" si="0"/>
        <v>-859.68943636363645</v>
      </c>
    </row>
    <row r="14" spans="1:4">
      <c r="A14" s="1" t="s">
        <v>11</v>
      </c>
      <c r="B14" s="3">
        <v>0</v>
      </c>
      <c r="C14" s="3">
        <v>4.1958041958041958E-3</v>
      </c>
      <c r="D14" s="3">
        <f t="shared" si="0"/>
        <v>4.1958041958041958E-3</v>
      </c>
    </row>
    <row r="15" spans="1:4">
      <c r="A15" s="1" t="s">
        <v>12</v>
      </c>
      <c r="B15" s="3">
        <v>0.1471861471861472</v>
      </c>
      <c r="C15" s="3">
        <v>0.24755244755244754</v>
      </c>
      <c r="D15" s="3">
        <f t="shared" si="0"/>
        <v>0.10036630036630034</v>
      </c>
    </row>
    <row r="16" spans="1:4">
      <c r="A16" s="1" t="s">
        <v>13</v>
      </c>
      <c r="B16" s="1">
        <v>57.026200873362491</v>
      </c>
      <c r="C16" s="1">
        <v>62.931966053748233</v>
      </c>
      <c r="D16" s="1">
        <f t="shared" si="0"/>
        <v>5.9057651803857425</v>
      </c>
    </row>
    <row r="17" spans="1:4">
      <c r="A17" s="1" t="s">
        <v>14</v>
      </c>
      <c r="B17" s="1">
        <v>8.8636363636363633</v>
      </c>
      <c r="C17" s="1">
        <v>6.4</v>
      </c>
      <c r="D17" s="1">
        <f t="shared" si="0"/>
        <v>-2.463636363636363</v>
      </c>
    </row>
  </sheetData>
  <mergeCells count="1">
    <mergeCell ref="A5:D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77EBC-DA21-4A5F-BB68-46C779E66FF2}">
  <dimension ref="A2:G46"/>
  <sheetViews>
    <sheetView topLeftCell="A4" zoomScale="70" zoomScaleNormal="70" workbookViewId="0">
      <selection activeCell="I24" sqref="I24"/>
    </sheetView>
  </sheetViews>
  <sheetFormatPr defaultRowHeight="14.5"/>
  <cols>
    <col min="1" max="1" width="26.36328125" bestFit="1" customWidth="1"/>
    <col min="2" max="2" width="16.08984375" bestFit="1" customWidth="1"/>
    <col min="3" max="4" width="12.7265625" bestFit="1" customWidth="1"/>
    <col min="5" max="5" width="14.7265625" bestFit="1" customWidth="1"/>
    <col min="6" max="6" width="28.6328125" bestFit="1" customWidth="1"/>
    <col min="7" max="7" width="19.36328125" bestFit="1" customWidth="1"/>
  </cols>
  <sheetData>
    <row r="2" spans="1:7">
      <c r="C2" s="14" t="s">
        <v>1460</v>
      </c>
      <c r="D2" s="14"/>
      <c r="E2" s="14"/>
    </row>
    <row r="3" spans="1:7">
      <c r="B3" s="9" t="s">
        <v>1450</v>
      </c>
    </row>
    <row r="4" spans="1:7">
      <c r="B4" t="s">
        <v>1</v>
      </c>
      <c r="D4" t="s">
        <v>2</v>
      </c>
      <c r="F4" t="s">
        <v>1452</v>
      </c>
      <c r="G4" t="s">
        <v>1453</v>
      </c>
    </row>
    <row r="5" spans="1:7">
      <c r="A5" s="9" t="s">
        <v>1448</v>
      </c>
      <c r="B5" t="s">
        <v>1451</v>
      </c>
      <c r="C5" t="s">
        <v>1454</v>
      </c>
      <c r="D5" t="s">
        <v>1451</v>
      </c>
      <c r="E5" t="s">
        <v>1454</v>
      </c>
    </row>
    <row r="6" spans="1:7">
      <c r="A6" s="10" t="s">
        <v>44</v>
      </c>
      <c r="B6" s="11">
        <v>4</v>
      </c>
      <c r="C6" s="11">
        <v>158</v>
      </c>
      <c r="D6" s="11">
        <v>11</v>
      </c>
      <c r="E6" s="11">
        <v>172</v>
      </c>
      <c r="F6" s="11">
        <v>15</v>
      </c>
      <c r="G6" s="11">
        <v>330</v>
      </c>
    </row>
    <row r="7" spans="1:7">
      <c r="A7" s="10" t="s">
        <v>34</v>
      </c>
      <c r="B7" s="11">
        <v>7</v>
      </c>
      <c r="C7" s="11">
        <v>203</v>
      </c>
      <c r="D7" s="11">
        <v>16</v>
      </c>
      <c r="E7" s="11">
        <v>180</v>
      </c>
      <c r="F7" s="11">
        <v>23</v>
      </c>
      <c r="G7" s="11">
        <v>383</v>
      </c>
    </row>
    <row r="8" spans="1:7">
      <c r="A8" s="10" t="s">
        <v>48</v>
      </c>
      <c r="B8" s="11">
        <v>6</v>
      </c>
      <c r="C8" s="11">
        <v>184</v>
      </c>
      <c r="D8" s="11">
        <v>14</v>
      </c>
      <c r="E8" s="11">
        <v>184</v>
      </c>
      <c r="F8" s="11">
        <v>20</v>
      </c>
      <c r="G8" s="11">
        <v>368</v>
      </c>
    </row>
    <row r="9" spans="1:7">
      <c r="A9" s="10" t="s">
        <v>39</v>
      </c>
      <c r="B9" s="11">
        <v>5</v>
      </c>
      <c r="C9" s="11">
        <v>148</v>
      </c>
      <c r="D9" s="11">
        <v>9</v>
      </c>
      <c r="E9" s="11">
        <v>179</v>
      </c>
      <c r="F9" s="11">
        <v>14</v>
      </c>
      <c r="G9" s="11">
        <v>327</v>
      </c>
    </row>
    <row r="10" spans="1:7">
      <c r="A10" s="10" t="s">
        <v>1449</v>
      </c>
      <c r="B10" s="11">
        <v>22</v>
      </c>
      <c r="C10" s="11">
        <v>693</v>
      </c>
      <c r="D10" s="11">
        <v>50</v>
      </c>
      <c r="E10" s="11">
        <v>715</v>
      </c>
      <c r="F10" s="11">
        <v>72</v>
      </c>
      <c r="G10" s="11">
        <v>1408</v>
      </c>
    </row>
    <row r="12" spans="1:7">
      <c r="A12" s="13" t="s">
        <v>1455</v>
      </c>
      <c r="B12" s="13" t="s">
        <v>1456</v>
      </c>
      <c r="C12" s="13" t="s">
        <v>1457</v>
      </c>
      <c r="D12" s="13" t="s">
        <v>3</v>
      </c>
    </row>
    <row r="13" spans="1:7">
      <c r="A13" s="1" t="s">
        <v>44</v>
      </c>
      <c r="B13" s="1">
        <f>GETPIVOTDATA("Sum of converted_to_paid",$A$3,"experiment_group","Control","region","East")/GETPIVOTDATA("Count of user_id",$A$3,"experiment_group","Control","region","East")</f>
        <v>2.5316455696202531E-2</v>
      </c>
      <c r="C13" s="1">
        <f>GETPIVOTDATA("Sum of converted_to_paid",$A$3,"experiment_group","Treatment","region","East")/GETPIVOTDATA("Count of user_id",$A$3,"experiment_group","Treatment","region","East")</f>
        <v>6.3953488372093026E-2</v>
      </c>
      <c r="D13" s="1">
        <f>C13-B13</f>
        <v>3.8637032675890498E-2</v>
      </c>
    </row>
    <row r="14" spans="1:7">
      <c r="A14" s="1" t="s">
        <v>34</v>
      </c>
      <c r="B14" s="1">
        <f>GETPIVOTDATA("Sum of converted_to_paid",$A$3,"experiment_group","Control","region","North")/GETPIVOTDATA("Count of user_id",$A$3,"experiment_group","Control","region","North")</f>
        <v>3.4482758620689655E-2</v>
      </c>
      <c r="C14" s="1">
        <f>GETPIVOTDATA("Sum of converted_to_paid",$A$3,"experiment_group","Treatment","region","North")/GETPIVOTDATA("Count of user_id",$A$3,"experiment_group","Treatment","region","North")</f>
        <v>8.8888888888888892E-2</v>
      </c>
      <c r="D14" s="1">
        <f t="shared" ref="D14:D16" si="0">C14-B14</f>
        <v>5.4406130268199238E-2</v>
      </c>
    </row>
    <row r="15" spans="1:7">
      <c r="A15" s="1" t="s">
        <v>48</v>
      </c>
      <c r="B15" s="1">
        <f>GETPIVOTDATA("Sum of converted_to_paid",$A$3,"experiment_group","Control","region","South")/GETPIVOTDATA("Count of user_id",$A$3,"experiment_group","Control","region","South")</f>
        <v>3.2608695652173912E-2</v>
      </c>
      <c r="C15" s="1">
        <f>GETPIVOTDATA("Sum of converted_to_paid",$A$3,"experiment_group","Treatment","region","South")/GETPIVOTDATA("Count of user_id",$A$3,"experiment_group","Treatment","region","South")</f>
        <v>7.6086956521739135E-2</v>
      </c>
      <c r="D15" s="1">
        <f t="shared" si="0"/>
        <v>4.3478260869565223E-2</v>
      </c>
    </row>
    <row r="16" spans="1:7">
      <c r="A16" s="1" t="s">
        <v>39</v>
      </c>
      <c r="B16" s="1">
        <f>GETPIVOTDATA("Sum of converted_to_paid",$A$3,"experiment_group","Control","region","West")/GETPIVOTDATA("Count of user_id",$A$3,"experiment_group","Control","region","West")</f>
        <v>3.3783783783783786E-2</v>
      </c>
      <c r="C16" s="1">
        <f>GETPIVOTDATA("Sum of converted_to_paid",$A$3,"experiment_group","Treatment","region","West")/GETPIVOTDATA("Count of user_id",$A$3,"experiment_group","Treatment","region","West")</f>
        <v>5.027932960893855E-2</v>
      </c>
      <c r="D16" s="1">
        <f t="shared" si="0"/>
        <v>1.6495545825154764E-2</v>
      </c>
    </row>
    <row r="21" spans="1:7">
      <c r="C21" s="14" t="s">
        <v>1462</v>
      </c>
      <c r="D21" s="14"/>
      <c r="E21" s="14"/>
    </row>
    <row r="22" spans="1:7">
      <c r="B22" s="9" t="s">
        <v>1450</v>
      </c>
    </row>
    <row r="23" spans="1:7">
      <c r="B23" t="s">
        <v>1</v>
      </c>
      <c r="D23" t="s">
        <v>2</v>
      </c>
      <c r="F23" t="s">
        <v>1458</v>
      </c>
      <c r="G23" t="s">
        <v>1453</v>
      </c>
    </row>
    <row r="24" spans="1:7">
      <c r="A24" s="9" t="s">
        <v>1448</v>
      </c>
      <c r="B24" t="s">
        <v>1459</v>
      </c>
      <c r="C24" t="s">
        <v>1454</v>
      </c>
      <c r="D24" t="s">
        <v>1459</v>
      </c>
      <c r="E24" t="s">
        <v>1454</v>
      </c>
    </row>
    <row r="25" spans="1:7">
      <c r="A25" s="10" t="s">
        <v>44</v>
      </c>
      <c r="B25" s="11">
        <v>22</v>
      </c>
      <c r="C25" s="11">
        <v>158</v>
      </c>
      <c r="D25" s="11">
        <v>46</v>
      </c>
      <c r="E25" s="11">
        <v>172</v>
      </c>
      <c r="F25" s="11">
        <v>68</v>
      </c>
      <c r="G25" s="11">
        <v>330</v>
      </c>
    </row>
    <row r="26" spans="1:7">
      <c r="A26" s="10" t="s">
        <v>34</v>
      </c>
      <c r="B26" s="11">
        <v>31</v>
      </c>
      <c r="C26" s="11">
        <v>203</v>
      </c>
      <c r="D26" s="11">
        <v>41</v>
      </c>
      <c r="E26" s="11">
        <v>180</v>
      </c>
      <c r="F26" s="11">
        <v>72</v>
      </c>
      <c r="G26" s="11">
        <v>383</v>
      </c>
    </row>
    <row r="27" spans="1:7">
      <c r="A27" s="10" t="s">
        <v>48</v>
      </c>
      <c r="B27" s="11">
        <v>26</v>
      </c>
      <c r="C27" s="11">
        <v>184</v>
      </c>
      <c r="D27" s="11">
        <v>41</v>
      </c>
      <c r="E27" s="11">
        <v>184</v>
      </c>
      <c r="F27" s="11">
        <v>67</v>
      </c>
      <c r="G27" s="11">
        <v>368</v>
      </c>
    </row>
    <row r="28" spans="1:7">
      <c r="A28" s="10" t="s">
        <v>39</v>
      </c>
      <c r="B28" s="11">
        <v>23</v>
      </c>
      <c r="C28" s="11">
        <v>148</v>
      </c>
      <c r="D28" s="11">
        <v>49</v>
      </c>
      <c r="E28" s="11">
        <v>179</v>
      </c>
      <c r="F28" s="11">
        <v>72</v>
      </c>
      <c r="G28" s="11">
        <v>327</v>
      </c>
    </row>
    <row r="29" spans="1:7">
      <c r="A29" s="10" t="s">
        <v>1449</v>
      </c>
      <c r="B29" s="11">
        <v>102</v>
      </c>
      <c r="C29" s="11">
        <v>693</v>
      </c>
      <c r="D29" s="11">
        <v>177</v>
      </c>
      <c r="E29" s="11">
        <v>715</v>
      </c>
      <c r="F29" s="11">
        <v>279</v>
      </c>
      <c r="G29" s="11">
        <v>1408</v>
      </c>
    </row>
    <row r="31" spans="1:7">
      <c r="A31" s="15" t="s">
        <v>1455</v>
      </c>
      <c r="B31" s="15" t="s">
        <v>1463</v>
      </c>
      <c r="C31" s="15" t="s">
        <v>1464</v>
      </c>
      <c r="D31" s="13" t="s">
        <v>3</v>
      </c>
    </row>
    <row r="32" spans="1:7">
      <c r="A32" s="1" t="s">
        <v>44</v>
      </c>
      <c r="B32" s="4">
        <f>GETPIVOTDATA("Sum of Has_Support_Ticket",$A$22,"experiment_group","Control","region","East")/GETPIVOTDATA("Count of user_id",$A$22,"experiment_group","Control","region","East")</f>
        <v>0.13924050632911392</v>
      </c>
      <c r="C32" s="4">
        <f>GETPIVOTDATA("Sum of Has_Support_Ticket",$A$22,"experiment_group","Treatment","region","East")/GETPIVOTDATA("Count of user_id",$A$22,"experiment_group","Treatment","region","East")</f>
        <v>0.26744186046511625</v>
      </c>
      <c r="D32" s="4">
        <f>C32-B32</f>
        <v>0.12820135413600234</v>
      </c>
    </row>
    <row r="33" spans="1:5">
      <c r="A33" s="1" t="s">
        <v>34</v>
      </c>
      <c r="B33" s="4">
        <f>GETPIVOTDATA("Sum of Has_Support_Ticket",$A$22,"experiment_group","Control","region","North")/GETPIVOTDATA("Count of user_id",$A$22,"experiment_group","Control","region","North")</f>
        <v>0.15270935960591134</v>
      </c>
      <c r="C33" s="4">
        <f>GETPIVOTDATA("Sum of Has_Support_Ticket",$A$22,"experiment_group","Treatment","region","North")/GETPIVOTDATA("Count of user_id",$A$22,"experiment_group","Treatment","region","North")</f>
        <v>0.22777777777777777</v>
      </c>
      <c r="D33" s="4">
        <f t="shared" ref="D33:D35" si="1">C33-B33</f>
        <v>7.5068418171866436E-2</v>
      </c>
    </row>
    <row r="34" spans="1:5">
      <c r="A34" s="1" t="s">
        <v>48</v>
      </c>
      <c r="B34" s="4">
        <f>GETPIVOTDATA("Sum of Has_Support_Ticket",$A$22,"experiment_group","Control","region","South")/GETPIVOTDATA("Count of user_id",$A$22,"experiment_group","Control","region","South")</f>
        <v>0.14130434782608695</v>
      </c>
      <c r="C34" s="4">
        <f>GETPIVOTDATA("Sum of Has_Support_Ticket",$A$22,"experiment_group","Treatment","region","South")/GETPIVOTDATA("Count of user_id",$A$22,"experiment_group","Treatment","region","South")</f>
        <v>0.22282608695652173</v>
      </c>
      <c r="D34" s="4">
        <f t="shared" si="1"/>
        <v>8.1521739130434784E-2</v>
      </c>
    </row>
    <row r="35" spans="1:5">
      <c r="A35" s="1" t="s">
        <v>39</v>
      </c>
      <c r="B35" s="4">
        <f>GETPIVOTDATA("Sum of Has_Support_Ticket",$A$22,"experiment_group","Control","region","West")/GETPIVOTDATA("Count of user_id",$A$22,"experiment_group","Control","region","West")</f>
        <v>0.1554054054054054</v>
      </c>
      <c r="C35" s="4">
        <f>GETPIVOTDATA("Sum of Has_Support_Ticket",$A$22,"experiment_group","Treatment","region","West")/GETPIVOTDATA("Count of user_id",$A$22,"experiment_group","Treatment","region","West")</f>
        <v>0.27374301675977653</v>
      </c>
      <c r="D35" s="4">
        <f t="shared" si="1"/>
        <v>0.11833761135437112</v>
      </c>
    </row>
    <row r="39" spans="1:5">
      <c r="A39" s="14" t="s">
        <v>1461</v>
      </c>
      <c r="B39" s="14"/>
      <c r="C39" s="14"/>
      <c r="D39" s="17"/>
      <c r="E39" s="17"/>
    </row>
    <row r="40" spans="1:5">
      <c r="A40" s="9" t="s">
        <v>1465</v>
      </c>
      <c r="B40" s="9" t="s">
        <v>1450</v>
      </c>
    </row>
    <row r="41" spans="1:5">
      <c r="A41" s="9" t="s">
        <v>1448</v>
      </c>
      <c r="B41" t="s">
        <v>1</v>
      </c>
      <c r="C41" t="s">
        <v>2</v>
      </c>
      <c r="D41" t="s">
        <v>1449</v>
      </c>
    </row>
    <row r="42" spans="1:5">
      <c r="A42" s="10" t="s">
        <v>44</v>
      </c>
      <c r="B42" s="11">
        <v>56.628481012658234</v>
      </c>
      <c r="C42" s="11">
        <v>63.187719298245639</v>
      </c>
      <c r="D42" s="11">
        <v>60.037689969604898</v>
      </c>
    </row>
    <row r="43" spans="1:5">
      <c r="A43" s="10" t="s">
        <v>34</v>
      </c>
      <c r="B43" s="11">
        <v>57.544499999999978</v>
      </c>
      <c r="C43" s="11">
        <v>63.153977272727246</v>
      </c>
      <c r="D43" s="11">
        <v>60.170212765957444</v>
      </c>
    </row>
    <row r="44" spans="1:5">
      <c r="A44" s="10" t="s">
        <v>48</v>
      </c>
      <c r="B44" s="11">
        <v>56.904972375690591</v>
      </c>
      <c r="C44" s="11">
        <v>62.158241758241765</v>
      </c>
      <c r="D44" s="11">
        <v>59.538842975206634</v>
      </c>
    </row>
    <row r="45" spans="1:5">
      <c r="A45" s="10" t="s">
        <v>39</v>
      </c>
      <c r="B45" s="11">
        <v>56.898648648648638</v>
      </c>
      <c r="C45" s="11">
        <v>63.257865168539347</v>
      </c>
      <c r="D45" s="11">
        <v>60.370858895705496</v>
      </c>
    </row>
    <row r="46" spans="1:5">
      <c r="A46" s="10" t="s">
        <v>1449</v>
      </c>
      <c r="B46" s="11">
        <v>57.026200873362512</v>
      </c>
      <c r="C46" s="11">
        <v>62.931966053748276</v>
      </c>
      <c r="D46" s="11">
        <v>60.02144906743186</v>
      </c>
    </row>
  </sheetData>
  <mergeCells count="3">
    <mergeCell ref="C2:E2"/>
    <mergeCell ref="C21:E21"/>
    <mergeCell ref="A39:C39"/>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AF15-C005-4C98-B3C5-FA36FD3EDAA5}">
  <dimension ref="A3:G51"/>
  <sheetViews>
    <sheetView zoomScale="55" zoomScaleNormal="55" workbookViewId="0">
      <selection activeCell="F43" sqref="F43"/>
    </sheetView>
  </sheetViews>
  <sheetFormatPr defaultRowHeight="14.5"/>
  <cols>
    <col min="1" max="1" width="29.36328125" bestFit="1" customWidth="1"/>
    <col min="2" max="2" width="17.6328125" bestFit="1" customWidth="1"/>
    <col min="3" max="4" width="12" bestFit="1" customWidth="1"/>
    <col min="5" max="5" width="14.453125" bestFit="1" customWidth="1"/>
    <col min="6" max="6" width="27.453125" bestFit="1" customWidth="1"/>
    <col min="7" max="7" width="19" bestFit="1" customWidth="1"/>
  </cols>
  <sheetData>
    <row r="3" spans="1:7">
      <c r="C3" s="14" t="s">
        <v>1468</v>
      </c>
      <c r="D3" s="14"/>
      <c r="E3" s="14"/>
    </row>
    <row r="4" spans="1:7">
      <c r="B4" s="9" t="s">
        <v>1450</v>
      </c>
    </row>
    <row r="5" spans="1:7">
      <c r="B5" t="s">
        <v>1</v>
      </c>
      <c r="D5" t="s">
        <v>2</v>
      </c>
      <c r="F5" t="s">
        <v>1452</v>
      </c>
      <c r="G5" t="s">
        <v>1453</v>
      </c>
    </row>
    <row r="6" spans="1:7">
      <c r="A6" s="9" t="s">
        <v>1448</v>
      </c>
      <c r="B6" t="s">
        <v>1451</v>
      </c>
      <c r="C6" t="s">
        <v>1454</v>
      </c>
      <c r="D6" t="s">
        <v>1451</v>
      </c>
      <c r="E6" t="s">
        <v>1454</v>
      </c>
    </row>
    <row r="7" spans="1:7">
      <c r="A7" s="10" t="s">
        <v>35</v>
      </c>
      <c r="B7" s="11">
        <v>9</v>
      </c>
      <c r="C7" s="11">
        <v>200</v>
      </c>
      <c r="D7" s="11">
        <v>14</v>
      </c>
      <c r="E7" s="11">
        <v>214</v>
      </c>
      <c r="F7" s="11">
        <v>23</v>
      </c>
      <c r="G7" s="11">
        <v>414</v>
      </c>
    </row>
    <row r="8" spans="1:7">
      <c r="A8" s="10" t="s">
        <v>40</v>
      </c>
      <c r="B8" s="11">
        <v>11</v>
      </c>
      <c r="C8" s="11">
        <v>428</v>
      </c>
      <c r="D8" s="11">
        <v>32</v>
      </c>
      <c r="E8" s="11">
        <v>436</v>
      </c>
      <c r="F8" s="11">
        <v>43</v>
      </c>
      <c r="G8" s="11">
        <v>864</v>
      </c>
    </row>
    <row r="9" spans="1:7">
      <c r="A9" s="10" t="s">
        <v>50</v>
      </c>
      <c r="B9" s="11">
        <v>1</v>
      </c>
      <c r="C9" s="11">
        <v>56</v>
      </c>
      <c r="D9" s="11">
        <v>4</v>
      </c>
      <c r="E9" s="11">
        <v>56</v>
      </c>
      <c r="F9" s="11">
        <v>5</v>
      </c>
      <c r="G9" s="11">
        <v>112</v>
      </c>
    </row>
    <row r="10" spans="1:7">
      <c r="A10" s="10" t="s">
        <v>1466</v>
      </c>
      <c r="B10" s="11">
        <v>1</v>
      </c>
      <c r="C10" s="11">
        <v>9</v>
      </c>
      <c r="D10" s="11">
        <v>0</v>
      </c>
      <c r="E10" s="11">
        <v>9</v>
      </c>
      <c r="F10" s="11">
        <v>1</v>
      </c>
      <c r="G10" s="11">
        <v>18</v>
      </c>
    </row>
    <row r="11" spans="1:7">
      <c r="A11" s="10" t="s">
        <v>1449</v>
      </c>
      <c r="B11" s="11">
        <v>22</v>
      </c>
      <c r="C11" s="11">
        <v>693</v>
      </c>
      <c r="D11" s="11">
        <v>50</v>
      </c>
      <c r="E11" s="11">
        <v>715</v>
      </c>
      <c r="F11" s="11">
        <v>72</v>
      </c>
      <c r="G11" s="11">
        <v>1408</v>
      </c>
    </row>
    <row r="13" spans="1:7">
      <c r="A13" s="13" t="s">
        <v>1467</v>
      </c>
      <c r="B13" s="13" t="s">
        <v>1456</v>
      </c>
      <c r="C13" s="13" t="s">
        <v>1457</v>
      </c>
      <c r="D13" s="13" t="s">
        <v>3</v>
      </c>
    </row>
    <row r="14" spans="1:7">
      <c r="A14" s="1" t="s">
        <v>35</v>
      </c>
      <c r="B14" s="3">
        <f>GETPIVOTDATA("Sum of converted_to_paid",$A$4,"experiment_group","Control","device_type","Desktop")/GETPIVOTDATA("Count of user_id",$A$4,"experiment_group","Control","device_type","Desktop")</f>
        <v>4.4999999999999998E-2</v>
      </c>
      <c r="C14" s="3">
        <f>GETPIVOTDATA("Sum of converted_to_paid",$A$4,"experiment_group","Treatment","device_type","Desktop")/GETPIVOTDATA("Count of user_id",$A$4,"experiment_group","Treatment","device_type","Desktop")</f>
        <v>6.5420560747663545E-2</v>
      </c>
      <c r="D14" s="3">
        <f>C14-B14</f>
        <v>2.0420560747663546E-2</v>
      </c>
    </row>
    <row r="15" spans="1:7">
      <c r="A15" s="1" t="s">
        <v>40</v>
      </c>
      <c r="B15" s="3">
        <f>GETPIVOTDATA("Sum of converted_to_paid",$A$4,"experiment_group","Control","device_type","Mobile")/GETPIVOTDATA("Count of user_id",$A$4,"experiment_group","Control","device_type","Mobile")</f>
        <v>2.5700934579439252E-2</v>
      </c>
      <c r="C15" s="3">
        <f>GETPIVOTDATA("Sum of converted_to_paid",$A$4,"experiment_group","Treatment","device_type","Mobile")/GETPIVOTDATA("Count of user_id",$A$4,"experiment_group","Treatment","device_type","Mobile")</f>
        <v>7.3394495412844041E-2</v>
      </c>
      <c r="D15" s="3">
        <f t="shared" ref="D15:D17" si="0">C15-B15</f>
        <v>4.7693560833404786E-2</v>
      </c>
    </row>
    <row r="16" spans="1:7">
      <c r="A16" s="1" t="s">
        <v>50</v>
      </c>
      <c r="B16" s="3">
        <f>GETPIVOTDATA("Sum of converted_to_paid",$A$4,"experiment_group","Control","device_type","Tablet")/GETPIVOTDATA("Count of user_id",$A$4,"experiment_group","Control","device_type","Tablet")</f>
        <v>1.7857142857142856E-2</v>
      </c>
      <c r="C16" s="3">
        <f>GETPIVOTDATA("Sum of converted_to_paid",$A$4,"experiment_group","Treatment","device_type","Tablet")/GETPIVOTDATA("Count of user_id",$A$4,"experiment_group","Treatment","device_type","Tablet")</f>
        <v>7.1428571428571425E-2</v>
      </c>
      <c r="D16" s="3">
        <f t="shared" si="0"/>
        <v>5.3571428571428568E-2</v>
      </c>
    </row>
    <row r="17" spans="1:7">
      <c r="A17" s="18" t="s">
        <v>1466</v>
      </c>
      <c r="B17" s="2">
        <f>GETPIVOTDATA("Sum of converted_to_paid",$A$4,"experiment_group","Control","device_type",)/GETPIVOTDATA("Count of user_id",$A$4,"experiment_group","Control","device_type",)</f>
        <v>0.1111111111111111</v>
      </c>
      <c r="C17" s="2">
        <f>GETPIVOTDATA("Sum of converted_to_paid",$A$4,"experiment_group","Treatment","device_type",)/GETPIVOTDATA("Count of user_id",$A$4,"experiment_group","Treatment","device_type",)</f>
        <v>0</v>
      </c>
      <c r="D17" s="3">
        <f t="shared" si="0"/>
        <v>-0.1111111111111111</v>
      </c>
    </row>
    <row r="20" spans="1:7">
      <c r="C20" s="14" t="s">
        <v>1469</v>
      </c>
      <c r="D20" s="14"/>
      <c r="E20" s="14"/>
    </row>
    <row r="21" spans="1:7">
      <c r="B21" s="9" t="s">
        <v>1450</v>
      </c>
    </row>
    <row r="22" spans="1:7">
      <c r="B22" t="s">
        <v>1</v>
      </c>
      <c r="D22" t="s">
        <v>2</v>
      </c>
      <c r="F22" t="s">
        <v>1458</v>
      </c>
      <c r="G22" t="s">
        <v>1453</v>
      </c>
    </row>
    <row r="23" spans="1:7">
      <c r="A23" s="9" t="s">
        <v>1448</v>
      </c>
      <c r="B23" t="s">
        <v>1459</v>
      </c>
      <c r="C23" t="s">
        <v>1454</v>
      </c>
      <c r="D23" t="s">
        <v>1459</v>
      </c>
      <c r="E23" t="s">
        <v>1454</v>
      </c>
    </row>
    <row r="24" spans="1:7">
      <c r="A24" s="10" t="s">
        <v>35</v>
      </c>
      <c r="B24" s="11">
        <v>30</v>
      </c>
      <c r="C24" s="11">
        <v>200</v>
      </c>
      <c r="D24" s="11">
        <v>51</v>
      </c>
      <c r="E24" s="11">
        <v>214</v>
      </c>
      <c r="F24" s="11">
        <v>81</v>
      </c>
      <c r="G24" s="11">
        <v>414</v>
      </c>
    </row>
    <row r="25" spans="1:7">
      <c r="A25" s="10" t="s">
        <v>40</v>
      </c>
      <c r="B25" s="11">
        <v>65</v>
      </c>
      <c r="C25" s="11">
        <v>428</v>
      </c>
      <c r="D25" s="11">
        <v>110</v>
      </c>
      <c r="E25" s="11">
        <v>436</v>
      </c>
      <c r="F25" s="11">
        <v>175</v>
      </c>
      <c r="G25" s="11">
        <v>864</v>
      </c>
    </row>
    <row r="26" spans="1:7">
      <c r="A26" s="10" t="s">
        <v>50</v>
      </c>
      <c r="B26" s="11">
        <v>6</v>
      </c>
      <c r="C26" s="11">
        <v>56</v>
      </c>
      <c r="D26" s="11">
        <v>12</v>
      </c>
      <c r="E26" s="11">
        <v>56</v>
      </c>
      <c r="F26" s="11">
        <v>18</v>
      </c>
      <c r="G26" s="11">
        <v>112</v>
      </c>
    </row>
    <row r="27" spans="1:7">
      <c r="A27" s="10" t="s">
        <v>1466</v>
      </c>
      <c r="B27" s="11">
        <v>1</v>
      </c>
      <c r="C27" s="11">
        <v>9</v>
      </c>
      <c r="D27" s="11">
        <v>4</v>
      </c>
      <c r="E27" s="11">
        <v>9</v>
      </c>
      <c r="F27" s="11">
        <v>5</v>
      </c>
      <c r="G27" s="11">
        <v>18</v>
      </c>
    </row>
    <row r="28" spans="1:7">
      <c r="A28" s="10" t="s">
        <v>1449</v>
      </c>
      <c r="B28" s="11">
        <v>102</v>
      </c>
      <c r="C28" s="11">
        <v>693</v>
      </c>
      <c r="D28" s="11">
        <v>177</v>
      </c>
      <c r="E28" s="11">
        <v>715</v>
      </c>
      <c r="F28" s="11">
        <v>279</v>
      </c>
      <c r="G28" s="11">
        <v>1408</v>
      </c>
    </row>
    <row r="30" spans="1:7">
      <c r="A30" s="13" t="s">
        <v>1467</v>
      </c>
      <c r="B30" s="13" t="s">
        <v>1456</v>
      </c>
      <c r="C30" s="13" t="s">
        <v>1457</v>
      </c>
      <c r="D30" s="13" t="s">
        <v>3</v>
      </c>
    </row>
    <row r="31" spans="1:7">
      <c r="A31" s="1" t="s">
        <v>35</v>
      </c>
      <c r="B31" s="3">
        <v>0.15</v>
      </c>
      <c r="C31" s="3">
        <v>0.23831775700934579</v>
      </c>
      <c r="D31" s="3">
        <f>C31-B31</f>
        <v>8.8317757009345799E-2</v>
      </c>
      <c r="E31" s="11"/>
      <c r="F31" s="11"/>
    </row>
    <row r="32" spans="1:7">
      <c r="A32" s="1" t="s">
        <v>40</v>
      </c>
      <c r="B32" s="3">
        <v>0.15186915887850466</v>
      </c>
      <c r="C32" s="3">
        <v>0.25229357798165136</v>
      </c>
      <c r="D32" s="3">
        <f t="shared" ref="D32:D34" si="1">C32-B32</f>
        <v>0.1004244191031467</v>
      </c>
      <c r="E32" s="11"/>
      <c r="F32" s="11"/>
    </row>
    <row r="33" spans="1:6">
      <c r="A33" s="1" t="s">
        <v>50</v>
      </c>
      <c r="B33" s="3">
        <v>0.10714285714285714</v>
      </c>
      <c r="C33" s="3">
        <v>0.21428571428571427</v>
      </c>
      <c r="D33" s="3">
        <f t="shared" si="1"/>
        <v>0.10714285714285714</v>
      </c>
      <c r="E33" s="11"/>
      <c r="F33" s="11"/>
    </row>
    <row r="34" spans="1:6">
      <c r="A34" s="18" t="s">
        <v>1466</v>
      </c>
      <c r="B34" s="2">
        <v>0.1111111111111111</v>
      </c>
      <c r="C34" s="2">
        <v>0.44444444444444442</v>
      </c>
      <c r="D34" s="3">
        <f t="shared" si="1"/>
        <v>0.33333333333333331</v>
      </c>
      <c r="E34" s="11"/>
      <c r="F34" s="11"/>
    </row>
    <row r="37" spans="1:6">
      <c r="A37" s="16" t="s">
        <v>1470</v>
      </c>
      <c r="C37" s="16"/>
      <c r="D37" s="16"/>
      <c r="E37" s="16"/>
    </row>
    <row r="38" spans="1:6">
      <c r="A38" s="9" t="s">
        <v>1465</v>
      </c>
      <c r="B38" s="9" t="s">
        <v>1450</v>
      </c>
    </row>
    <row r="39" spans="1:6">
      <c r="A39" s="9" t="s">
        <v>1448</v>
      </c>
      <c r="B39" t="s">
        <v>1</v>
      </c>
      <c r="C39" t="s">
        <v>2</v>
      </c>
      <c r="D39" t="s">
        <v>1449</v>
      </c>
    </row>
    <row r="40" spans="1:6">
      <c r="A40" s="10" t="s">
        <v>35</v>
      </c>
      <c r="B40" s="11">
        <v>57.21256281407036</v>
      </c>
      <c r="C40" s="11">
        <v>63.245283018867951</v>
      </c>
      <c r="D40" s="11">
        <v>60.324330900243304</v>
      </c>
    </row>
    <row r="41" spans="1:6">
      <c r="A41" s="10" t="s">
        <v>40</v>
      </c>
      <c r="B41" s="11">
        <v>57.347877358490521</v>
      </c>
      <c r="C41" s="11">
        <v>62.783720930232597</v>
      </c>
      <c r="D41" s="11">
        <v>60.08489461358311</v>
      </c>
    </row>
    <row r="42" spans="1:6">
      <c r="A42" s="10" t="s">
        <v>50</v>
      </c>
      <c r="B42" s="11">
        <v>55.758181818181825</v>
      </c>
      <c r="C42" s="11">
        <v>63.007142857142846</v>
      </c>
      <c r="D42" s="11">
        <v>59.415315315315326</v>
      </c>
    </row>
    <row r="43" spans="1:6">
      <c r="A43" s="10" t="s">
        <v>1466</v>
      </c>
      <c r="B43" s="11">
        <v>45.500000000000007</v>
      </c>
      <c r="C43" s="11">
        <v>62.166666666666664</v>
      </c>
      <c r="D43" s="11">
        <v>53.833333333333343</v>
      </c>
    </row>
    <row r="44" spans="1:6">
      <c r="A44" s="10" t="s">
        <v>1449</v>
      </c>
      <c r="B44" s="11">
        <v>57.026200873362491</v>
      </c>
      <c r="C44" s="11">
        <v>62.931966053748283</v>
      </c>
      <c r="D44" s="11">
        <v>60.021449067431838</v>
      </c>
    </row>
    <row r="47" spans="1:6">
      <c r="A47" s="19"/>
      <c r="B47" s="19"/>
      <c r="C47" s="19"/>
      <c r="D47" s="19"/>
    </row>
    <row r="48" spans="1:6">
      <c r="A48" s="20"/>
      <c r="B48" s="21"/>
      <c r="C48" s="21"/>
      <c r="D48" s="20"/>
    </row>
    <row r="49" spans="1:4">
      <c r="A49" s="20"/>
      <c r="B49" s="21"/>
      <c r="C49" s="21"/>
      <c r="D49" s="20"/>
    </row>
    <row r="50" spans="1:4">
      <c r="A50" s="20"/>
      <c r="B50" s="21"/>
      <c r="C50" s="21"/>
      <c r="D50" s="20"/>
    </row>
    <row r="51" spans="1:4">
      <c r="A51" s="22"/>
      <c r="B51" s="23"/>
      <c r="C51" s="23"/>
      <c r="D51" s="20"/>
    </row>
  </sheetData>
  <mergeCells count="2">
    <mergeCell ref="C3:E3"/>
    <mergeCell ref="C20:E20"/>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62539-FCD2-4674-B641-80DC19EABDDA}">
  <dimension ref="A3:G50"/>
  <sheetViews>
    <sheetView zoomScale="55" zoomScaleNormal="55" workbookViewId="0">
      <selection activeCell="K29" sqref="K29"/>
    </sheetView>
  </sheetViews>
  <sheetFormatPr defaultRowHeight="14.5"/>
  <cols>
    <col min="1" max="1" width="25.7265625" bestFit="1" customWidth="1"/>
    <col min="2" max="2" width="15.6328125" bestFit="1" customWidth="1"/>
    <col min="3" max="4" width="11.81640625" bestFit="1" customWidth="1"/>
    <col min="5" max="5" width="14.453125" bestFit="1" customWidth="1"/>
    <col min="6" max="6" width="28.36328125" bestFit="1" customWidth="1"/>
    <col min="7" max="7" width="19" bestFit="1" customWidth="1"/>
  </cols>
  <sheetData>
    <row r="3" spans="1:7">
      <c r="B3" s="9" t="s">
        <v>1450</v>
      </c>
    </row>
    <row r="4" spans="1:7">
      <c r="B4" t="s">
        <v>1</v>
      </c>
      <c r="D4" t="s">
        <v>2</v>
      </c>
      <c r="F4" t="s">
        <v>1452</v>
      </c>
      <c r="G4" t="s">
        <v>1453</v>
      </c>
    </row>
    <row r="5" spans="1:7">
      <c r="A5" s="9" t="s">
        <v>1448</v>
      </c>
      <c r="B5" t="s">
        <v>1451</v>
      </c>
      <c r="C5" t="s">
        <v>1454</v>
      </c>
      <c r="D5" t="s">
        <v>1451</v>
      </c>
      <c r="E5" t="s">
        <v>1454</v>
      </c>
    </row>
    <row r="6" spans="1:7">
      <c r="A6" s="10" t="s">
        <v>36</v>
      </c>
      <c r="B6" s="11">
        <v>2</v>
      </c>
      <c r="C6" s="11">
        <v>74</v>
      </c>
      <c r="D6" s="11">
        <v>4</v>
      </c>
      <c r="E6" s="11">
        <v>56</v>
      </c>
      <c r="F6" s="11">
        <v>6</v>
      </c>
      <c r="G6" s="11">
        <v>130</v>
      </c>
    </row>
    <row r="7" spans="1:7">
      <c r="A7" s="10" t="s">
        <v>41</v>
      </c>
      <c r="B7" s="11">
        <v>5</v>
      </c>
      <c r="C7" s="11">
        <v>246</v>
      </c>
      <c r="D7" s="11">
        <v>15</v>
      </c>
      <c r="E7" s="11">
        <v>241</v>
      </c>
      <c r="F7" s="11">
        <v>20</v>
      </c>
      <c r="G7" s="11">
        <v>487</v>
      </c>
    </row>
    <row r="8" spans="1:7">
      <c r="A8" s="10" t="s">
        <v>45</v>
      </c>
      <c r="B8" s="11">
        <v>2</v>
      </c>
      <c r="C8" s="11">
        <v>156</v>
      </c>
      <c r="D8" s="11">
        <v>11</v>
      </c>
      <c r="E8" s="11">
        <v>176</v>
      </c>
      <c r="F8" s="11">
        <v>13</v>
      </c>
      <c r="G8" s="11">
        <v>332</v>
      </c>
    </row>
    <row r="9" spans="1:7">
      <c r="A9" s="10" t="s">
        <v>55</v>
      </c>
      <c r="B9" s="11">
        <v>2</v>
      </c>
      <c r="C9" s="11">
        <v>81</v>
      </c>
      <c r="D9" s="11">
        <v>10</v>
      </c>
      <c r="E9" s="11">
        <v>91</v>
      </c>
      <c r="F9" s="11">
        <v>12</v>
      </c>
      <c r="G9" s="11">
        <v>172</v>
      </c>
    </row>
    <row r="10" spans="1:7">
      <c r="A10" s="10" t="s">
        <v>57</v>
      </c>
      <c r="B10" s="11">
        <v>10</v>
      </c>
      <c r="C10" s="11">
        <v>130</v>
      </c>
      <c r="D10" s="11">
        <v>8</v>
      </c>
      <c r="E10" s="11">
        <v>133</v>
      </c>
      <c r="F10" s="11">
        <v>18</v>
      </c>
      <c r="G10" s="11">
        <v>263</v>
      </c>
    </row>
    <row r="11" spans="1:7">
      <c r="A11" s="10" t="s">
        <v>1466</v>
      </c>
      <c r="B11" s="11">
        <v>1</v>
      </c>
      <c r="C11" s="11">
        <v>6</v>
      </c>
      <c r="D11" s="11">
        <v>2</v>
      </c>
      <c r="E11" s="11">
        <v>18</v>
      </c>
      <c r="F11" s="11">
        <v>3</v>
      </c>
      <c r="G11" s="11">
        <v>24</v>
      </c>
    </row>
    <row r="12" spans="1:7">
      <c r="A12" s="10" t="s">
        <v>1449</v>
      </c>
      <c r="B12" s="11">
        <v>22</v>
      </c>
      <c r="C12" s="11">
        <v>693</v>
      </c>
      <c r="D12" s="11">
        <v>50</v>
      </c>
      <c r="E12" s="11">
        <v>715</v>
      </c>
      <c r="F12" s="11">
        <v>72</v>
      </c>
      <c r="G12" s="11">
        <v>1408</v>
      </c>
    </row>
    <row r="14" spans="1:7">
      <c r="A14" s="13" t="s">
        <v>1471</v>
      </c>
      <c r="B14" s="13" t="s">
        <v>1456</v>
      </c>
      <c r="C14" s="13" t="s">
        <v>1457</v>
      </c>
      <c r="D14" s="13" t="s">
        <v>3</v>
      </c>
    </row>
    <row r="15" spans="1:7">
      <c r="A15" s="1" t="s">
        <v>36</v>
      </c>
      <c r="B15" s="3">
        <v>2.7027027027027029E-2</v>
      </c>
      <c r="C15" s="3">
        <v>7.1428571428571425E-2</v>
      </c>
      <c r="D15" s="3">
        <f>C15-B15</f>
        <v>4.4401544401544396E-2</v>
      </c>
      <c r="E15" s="11"/>
      <c r="F15" s="11"/>
    </row>
    <row r="16" spans="1:7">
      <c r="A16" s="1" t="s">
        <v>41</v>
      </c>
      <c r="B16" s="3">
        <v>2.032520325203252E-2</v>
      </c>
      <c r="C16" s="3">
        <v>6.2240663900414939E-2</v>
      </c>
      <c r="D16" s="3">
        <f t="shared" ref="D16:D20" si="0">C16-B16</f>
        <v>4.1915460648382419E-2</v>
      </c>
      <c r="E16" s="11"/>
      <c r="F16" s="11"/>
    </row>
    <row r="17" spans="1:7">
      <c r="A17" s="1" t="s">
        <v>45</v>
      </c>
      <c r="B17" s="3">
        <v>1.282051282051282E-2</v>
      </c>
      <c r="C17" s="3">
        <v>6.25E-2</v>
      </c>
      <c r="D17" s="3">
        <f t="shared" si="0"/>
        <v>4.9679487179487183E-2</v>
      </c>
      <c r="E17" s="11"/>
      <c r="F17" s="11"/>
    </row>
    <row r="18" spans="1:7">
      <c r="A18" s="1" t="s">
        <v>55</v>
      </c>
      <c r="B18" s="3">
        <v>2.4691358024691357E-2</v>
      </c>
      <c r="C18" s="3">
        <v>0.10989010989010989</v>
      </c>
      <c r="D18" s="3">
        <f t="shared" si="0"/>
        <v>8.5198751865418532E-2</v>
      </c>
      <c r="E18" s="11"/>
      <c r="F18" s="11"/>
    </row>
    <row r="19" spans="1:7">
      <c r="A19" s="1" t="s">
        <v>57</v>
      </c>
      <c r="B19" s="3">
        <v>7.6923076923076927E-2</v>
      </c>
      <c r="C19" s="3">
        <v>6.0150375939849621E-2</v>
      </c>
      <c r="D19" s="3">
        <f t="shared" si="0"/>
        <v>-1.6772700983227307E-2</v>
      </c>
      <c r="E19" s="11"/>
      <c r="F19" s="11"/>
    </row>
    <row r="20" spans="1:7">
      <c r="D20" s="12"/>
      <c r="E20" s="11"/>
      <c r="F20" s="11"/>
    </row>
    <row r="22" spans="1:7">
      <c r="B22" s="9" t="s">
        <v>1450</v>
      </c>
    </row>
    <row r="23" spans="1:7">
      <c r="B23" t="s">
        <v>1</v>
      </c>
      <c r="D23" t="s">
        <v>2</v>
      </c>
      <c r="F23" t="s">
        <v>1458</v>
      </c>
      <c r="G23" t="s">
        <v>1453</v>
      </c>
    </row>
    <row r="24" spans="1:7">
      <c r="A24" s="9" t="s">
        <v>1448</v>
      </c>
      <c r="B24" t="s">
        <v>1459</v>
      </c>
      <c r="C24" t="s">
        <v>1454</v>
      </c>
      <c r="D24" t="s">
        <v>1459</v>
      </c>
      <c r="E24" t="s">
        <v>1454</v>
      </c>
    </row>
    <row r="25" spans="1:7">
      <c r="A25" s="10" t="s">
        <v>36</v>
      </c>
      <c r="B25" s="11">
        <v>12</v>
      </c>
      <c r="C25" s="11">
        <v>74</v>
      </c>
      <c r="D25" s="11">
        <v>19</v>
      </c>
      <c r="E25" s="11">
        <v>56</v>
      </c>
      <c r="F25" s="11">
        <v>31</v>
      </c>
      <c r="G25" s="11">
        <v>130</v>
      </c>
    </row>
    <row r="26" spans="1:7">
      <c r="A26" s="10" t="s">
        <v>41</v>
      </c>
      <c r="B26" s="11">
        <v>30</v>
      </c>
      <c r="C26" s="11">
        <v>246</v>
      </c>
      <c r="D26" s="11">
        <v>55</v>
      </c>
      <c r="E26" s="11">
        <v>241</v>
      </c>
      <c r="F26" s="11">
        <v>85</v>
      </c>
      <c r="G26" s="11">
        <v>487</v>
      </c>
    </row>
    <row r="27" spans="1:7">
      <c r="A27" s="10" t="s">
        <v>45</v>
      </c>
      <c r="B27" s="11">
        <v>29</v>
      </c>
      <c r="C27" s="11">
        <v>156</v>
      </c>
      <c r="D27" s="11">
        <v>39</v>
      </c>
      <c r="E27" s="11">
        <v>176</v>
      </c>
      <c r="F27" s="11">
        <v>68</v>
      </c>
      <c r="G27" s="11">
        <v>332</v>
      </c>
    </row>
    <row r="28" spans="1:7">
      <c r="A28" s="10" t="s">
        <v>55</v>
      </c>
      <c r="B28" s="11">
        <v>10</v>
      </c>
      <c r="C28" s="11">
        <v>81</v>
      </c>
      <c r="D28" s="11">
        <v>26</v>
      </c>
      <c r="E28" s="11">
        <v>91</v>
      </c>
      <c r="F28" s="11">
        <v>36</v>
      </c>
      <c r="G28" s="11">
        <v>172</v>
      </c>
    </row>
    <row r="29" spans="1:7">
      <c r="A29" s="10" t="s">
        <v>57</v>
      </c>
      <c r="B29" s="11">
        <v>19</v>
      </c>
      <c r="C29" s="11">
        <v>130</v>
      </c>
      <c r="D29" s="11">
        <v>36</v>
      </c>
      <c r="E29" s="11">
        <v>133</v>
      </c>
      <c r="F29" s="11">
        <v>55</v>
      </c>
      <c r="G29" s="11">
        <v>263</v>
      </c>
    </row>
    <row r="30" spans="1:7">
      <c r="A30" s="10" t="s">
        <v>1466</v>
      </c>
      <c r="B30" s="11">
        <v>2</v>
      </c>
      <c r="C30" s="11">
        <v>6</v>
      </c>
      <c r="D30" s="11">
        <v>2</v>
      </c>
      <c r="E30" s="11">
        <v>18</v>
      </c>
      <c r="F30" s="11">
        <v>4</v>
      </c>
      <c r="G30" s="11">
        <v>24</v>
      </c>
    </row>
    <row r="31" spans="1:7">
      <c r="A31" s="10" t="s">
        <v>1449</v>
      </c>
      <c r="B31" s="11">
        <v>102</v>
      </c>
      <c r="C31" s="11">
        <v>693</v>
      </c>
      <c r="D31" s="11">
        <v>177</v>
      </c>
      <c r="E31" s="11">
        <v>715</v>
      </c>
      <c r="F31" s="11">
        <v>279</v>
      </c>
      <c r="G31" s="11">
        <v>1408</v>
      </c>
    </row>
    <row r="33" spans="1:4">
      <c r="A33" s="13" t="s">
        <v>1471</v>
      </c>
      <c r="B33" s="13" t="s">
        <v>1456</v>
      </c>
      <c r="C33" s="13" t="s">
        <v>1457</v>
      </c>
      <c r="D33" s="13" t="s">
        <v>3</v>
      </c>
    </row>
    <row r="34" spans="1:4">
      <c r="A34" s="1" t="s">
        <v>36</v>
      </c>
      <c r="B34" s="3">
        <v>0.16216216216216217</v>
      </c>
      <c r="C34" s="3">
        <v>0.3392857142857143</v>
      </c>
      <c r="D34" s="3">
        <f>C34-B34</f>
        <v>0.17712355212355213</v>
      </c>
    </row>
    <row r="35" spans="1:4">
      <c r="A35" s="1" t="s">
        <v>41</v>
      </c>
      <c r="B35" s="3">
        <v>0.12195121951219512</v>
      </c>
      <c r="C35" s="3">
        <v>0.22821576763485477</v>
      </c>
      <c r="D35" s="3">
        <f t="shared" ref="D35:D38" si="1">C35-B35</f>
        <v>0.10626454812265965</v>
      </c>
    </row>
    <row r="36" spans="1:4">
      <c r="A36" s="1" t="s">
        <v>45</v>
      </c>
      <c r="B36" s="3">
        <v>0.1858974358974359</v>
      </c>
      <c r="C36" s="3">
        <v>0.22159090909090909</v>
      </c>
      <c r="D36" s="3">
        <f t="shared" si="1"/>
        <v>3.5693473193473185E-2</v>
      </c>
    </row>
    <row r="37" spans="1:4">
      <c r="A37" s="1" t="s">
        <v>55</v>
      </c>
      <c r="B37" s="3">
        <v>0.12345679012345678</v>
      </c>
      <c r="C37" s="3">
        <v>0.2857142857142857</v>
      </c>
      <c r="D37" s="3">
        <f t="shared" si="1"/>
        <v>0.16225749559082892</v>
      </c>
    </row>
    <row r="38" spans="1:4">
      <c r="A38" s="1" t="s">
        <v>57</v>
      </c>
      <c r="B38" s="3">
        <v>0.14615384615384616</v>
      </c>
      <c r="C38" s="3">
        <v>0.27067669172932329</v>
      </c>
      <c r="D38" s="3">
        <f t="shared" si="1"/>
        <v>0.12452284557547713</v>
      </c>
    </row>
    <row r="42" spans="1:4">
      <c r="A42" s="9" t="s">
        <v>1465</v>
      </c>
      <c r="B42" s="9" t="s">
        <v>1450</v>
      </c>
    </row>
    <row r="43" spans="1:4">
      <c r="A43" s="9" t="s">
        <v>1448</v>
      </c>
      <c r="B43" t="s">
        <v>1</v>
      </c>
      <c r="C43" t="s">
        <v>2</v>
      </c>
      <c r="D43" t="s">
        <v>1449</v>
      </c>
    </row>
    <row r="44" spans="1:4">
      <c r="A44" s="10" t="s">
        <v>36</v>
      </c>
      <c r="B44" s="11">
        <v>57.828378378378368</v>
      </c>
      <c r="C44" s="11">
        <v>62.241071428571438</v>
      </c>
      <c r="D44" s="11">
        <v>59.729230769230753</v>
      </c>
    </row>
    <row r="45" spans="1:4">
      <c r="A45" s="10" t="s">
        <v>41</v>
      </c>
      <c r="B45" s="11">
        <v>58.451428571428558</v>
      </c>
      <c r="C45" s="11">
        <v>61.541350210970442</v>
      </c>
      <c r="D45" s="11">
        <v>59.970746887966818</v>
      </c>
    </row>
    <row r="46" spans="1:4">
      <c r="A46" s="10" t="s">
        <v>45</v>
      </c>
      <c r="B46" s="11">
        <v>54.565806451612907</v>
      </c>
      <c r="C46" s="11">
        <v>62.829310344827569</v>
      </c>
      <c r="D46" s="11">
        <v>58.936170212765994</v>
      </c>
    </row>
    <row r="47" spans="1:4">
      <c r="A47" s="10" t="s">
        <v>55</v>
      </c>
      <c r="B47" s="11">
        <v>58.372500000000016</v>
      </c>
      <c r="C47" s="11">
        <v>64.202222222222204</v>
      </c>
      <c r="D47" s="11">
        <v>61.458823529411767</v>
      </c>
    </row>
    <row r="48" spans="1:4">
      <c r="A48" s="10" t="s">
        <v>57</v>
      </c>
      <c r="B48" s="11">
        <v>55.909448818897616</v>
      </c>
      <c r="C48" s="11">
        <v>63.819696969697006</v>
      </c>
      <c r="D48" s="11">
        <v>59.940926640926612</v>
      </c>
    </row>
    <row r="49" spans="1:4">
      <c r="A49" s="10" t="s">
        <v>1466</v>
      </c>
      <c r="B49" s="11">
        <v>58.183333333333337</v>
      </c>
      <c r="C49" s="11">
        <v>71.522222222222226</v>
      </c>
      <c r="D49" s="11">
        <v>68.187500000000014</v>
      </c>
    </row>
    <row r="50" spans="1:4">
      <c r="A50" s="10" t="s">
        <v>1449</v>
      </c>
      <c r="B50" s="11">
        <v>57.026200873362477</v>
      </c>
      <c r="C50" s="11">
        <v>62.931966053748255</v>
      </c>
      <c r="D50" s="11">
        <v>60.02144906743186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982A4-27F6-4061-99B8-1BC0475FCB36}">
  <dimension ref="A2:E6"/>
  <sheetViews>
    <sheetView tabSelected="1" zoomScale="70" zoomScaleNormal="70" workbookViewId="0">
      <selection activeCell="J28" sqref="J28"/>
    </sheetView>
  </sheetViews>
  <sheetFormatPr defaultRowHeight="14.5"/>
  <cols>
    <col min="1" max="1" width="27.26953125" bestFit="1" customWidth="1"/>
    <col min="2" max="2" width="7" bestFit="1" customWidth="1"/>
    <col min="3" max="3" width="9.36328125" bestFit="1" customWidth="1"/>
    <col min="4" max="4" width="9.6328125" bestFit="1" customWidth="1"/>
    <col min="5" max="5" width="11.6328125" bestFit="1" customWidth="1"/>
  </cols>
  <sheetData>
    <row r="2" spans="1:5">
      <c r="A2" s="14" t="s">
        <v>1477</v>
      </c>
      <c r="B2" s="14"/>
      <c r="C2" s="14"/>
      <c r="D2" s="14"/>
      <c r="E2" s="14"/>
    </row>
    <row r="3" spans="1:5">
      <c r="A3" s="13" t="s">
        <v>1472</v>
      </c>
      <c r="B3" s="13" t="s">
        <v>1</v>
      </c>
      <c r="C3" s="13" t="s">
        <v>2</v>
      </c>
      <c r="D3" s="13" t="s">
        <v>3</v>
      </c>
      <c r="E3" s="13" t="s">
        <v>1473</v>
      </c>
    </row>
    <row r="4" spans="1:5">
      <c r="A4" s="1" t="s">
        <v>11</v>
      </c>
      <c r="B4" s="3">
        <v>0</v>
      </c>
      <c r="C4" s="3">
        <v>4.1999999999999997E-3</v>
      </c>
      <c r="D4" s="3">
        <v>4.1999999999999997E-3</v>
      </c>
      <c r="E4" s="1" t="s">
        <v>1474</v>
      </c>
    </row>
    <row r="5" spans="1:5">
      <c r="A5" s="1" t="s">
        <v>12</v>
      </c>
      <c r="B5" s="3">
        <v>0.1472</v>
      </c>
      <c r="C5" s="3">
        <v>0.24759999999999999</v>
      </c>
      <c r="D5" s="3">
        <v>0.1004</v>
      </c>
      <c r="E5" s="1" t="s">
        <v>1475</v>
      </c>
    </row>
    <row r="6" spans="1:5">
      <c r="A6" s="1" t="s">
        <v>1476</v>
      </c>
      <c r="B6" s="1">
        <v>1630.1</v>
      </c>
      <c r="C6" s="1">
        <v>770.41</v>
      </c>
      <c r="D6" s="1">
        <v>-859.69</v>
      </c>
      <c r="E6" s="1" t="s">
        <v>1478</v>
      </c>
    </row>
  </sheetData>
  <mergeCells count="1">
    <mergeCell ref="A2:E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9308-DCD9-445D-941C-DC4B5D35C581}">
  <dimension ref="A1:Q1409"/>
  <sheetViews>
    <sheetView topLeftCell="J1" workbookViewId="0">
      <selection activeCell="C1" sqref="C1:Q1048576"/>
    </sheetView>
  </sheetViews>
  <sheetFormatPr defaultRowHeight="14.5"/>
  <cols>
    <col min="3" max="3" width="17.81640625" bestFit="1" customWidth="1"/>
    <col min="4" max="4" width="6.6328125" bestFit="1" customWidth="1"/>
    <col min="5" max="5" width="11.90625" bestFit="1" customWidth="1"/>
    <col min="6" max="6" width="13.6328125" bestFit="1" customWidth="1"/>
    <col min="7" max="7" width="9.7265625" bestFit="1" customWidth="1"/>
    <col min="8" max="8" width="20.54296875" bestFit="1" customWidth="1"/>
    <col min="9" max="9" width="11.7265625" bestFit="1" customWidth="1"/>
    <col min="10" max="10" width="22.36328125" bestFit="1" customWidth="1"/>
    <col min="11" max="11" width="18.26953125" bestFit="1" customWidth="1"/>
    <col min="12" max="12" width="12.90625" bestFit="1" customWidth="1"/>
    <col min="13" max="13" width="19.81640625" bestFit="1" customWidth="1"/>
    <col min="14" max="14" width="20" bestFit="1" customWidth="1"/>
    <col min="15" max="15" width="17.36328125" bestFit="1" customWidth="1"/>
    <col min="16" max="16" width="16.36328125" bestFit="1" customWidth="1"/>
    <col min="17" max="17" width="18.7265625" bestFit="1" customWidth="1"/>
  </cols>
  <sheetData>
    <row r="1" spans="1:17">
      <c r="A1" s="7" t="s">
        <v>16</v>
      </c>
      <c r="B1" s="7" t="s">
        <v>17</v>
      </c>
      <c r="C1" s="7" t="s">
        <v>18</v>
      </c>
      <c r="D1" s="7" t="s">
        <v>19</v>
      </c>
      <c r="E1" s="7" t="s">
        <v>20</v>
      </c>
      <c r="F1" s="7" t="s">
        <v>21</v>
      </c>
      <c r="G1" s="7" t="s">
        <v>22</v>
      </c>
      <c r="H1" s="7" t="s">
        <v>23</v>
      </c>
      <c r="I1" s="7" t="s">
        <v>24</v>
      </c>
      <c r="J1" s="7" t="s">
        <v>25</v>
      </c>
      <c r="K1" s="7" t="s">
        <v>26</v>
      </c>
      <c r="L1" s="7" t="s">
        <v>27</v>
      </c>
      <c r="M1" s="7" t="s">
        <v>28</v>
      </c>
      <c r="N1" s="7" t="s">
        <v>29</v>
      </c>
      <c r="O1" s="7" t="s">
        <v>30</v>
      </c>
      <c r="P1" s="7" t="s">
        <v>31</v>
      </c>
      <c r="Q1" s="7" t="s">
        <v>32</v>
      </c>
    </row>
    <row r="2" spans="1:17">
      <c r="A2" t="s">
        <v>33</v>
      </c>
      <c r="B2" s="8">
        <v>45732</v>
      </c>
      <c r="C2" t="s">
        <v>1</v>
      </c>
      <c r="D2" t="s">
        <v>34</v>
      </c>
      <c r="E2" t="s">
        <v>35</v>
      </c>
      <c r="F2" t="s">
        <v>36</v>
      </c>
      <c r="G2" t="s">
        <v>37</v>
      </c>
      <c r="H2">
        <v>0</v>
      </c>
      <c r="I2">
        <v>0</v>
      </c>
      <c r="J2">
        <v>0</v>
      </c>
      <c r="K2">
        <v>0</v>
      </c>
      <c r="L2">
        <v>0</v>
      </c>
      <c r="M2">
        <v>0</v>
      </c>
      <c r="N2" cm="1">
        <f t="array" ref="N2:N1409">IF(M2:M1409&gt;0,1,0)</f>
        <v>0</v>
      </c>
      <c r="O2">
        <v>0</v>
      </c>
      <c r="Q2">
        <v>45.7</v>
      </c>
    </row>
    <row r="3" spans="1:17">
      <c r="A3" t="s">
        <v>38</v>
      </c>
      <c r="B3" s="8">
        <v>45724</v>
      </c>
      <c r="C3" t="s">
        <v>1</v>
      </c>
      <c r="D3" t="s">
        <v>39</v>
      </c>
      <c r="E3" t="s">
        <v>40</v>
      </c>
      <c r="F3" t="s">
        <v>41</v>
      </c>
      <c r="G3" t="s">
        <v>42</v>
      </c>
      <c r="H3">
        <v>1</v>
      </c>
      <c r="I3">
        <v>0</v>
      </c>
      <c r="J3">
        <v>0</v>
      </c>
      <c r="K3">
        <v>0</v>
      </c>
      <c r="L3">
        <v>0</v>
      </c>
      <c r="M3">
        <v>0</v>
      </c>
      <c r="N3">
        <v>0</v>
      </c>
      <c r="O3">
        <v>0</v>
      </c>
      <c r="Q3">
        <v>48.6</v>
      </c>
    </row>
    <row r="4" spans="1:17">
      <c r="A4" t="s">
        <v>43</v>
      </c>
      <c r="B4" s="8">
        <v>45771</v>
      </c>
      <c r="C4" t="s">
        <v>1</v>
      </c>
      <c r="D4" t="s">
        <v>44</v>
      </c>
      <c r="E4" t="s">
        <v>40</v>
      </c>
      <c r="F4" t="s">
        <v>45</v>
      </c>
      <c r="G4" t="s">
        <v>46</v>
      </c>
      <c r="H4">
        <v>1</v>
      </c>
      <c r="I4">
        <v>0</v>
      </c>
      <c r="J4">
        <v>0</v>
      </c>
      <c r="K4">
        <v>0</v>
      </c>
      <c r="L4">
        <v>0</v>
      </c>
      <c r="M4">
        <v>1</v>
      </c>
      <c r="N4">
        <v>1</v>
      </c>
      <c r="O4">
        <v>0</v>
      </c>
      <c r="Q4">
        <v>35.4</v>
      </c>
    </row>
    <row r="5" spans="1:17">
      <c r="A5" t="s">
        <v>47</v>
      </c>
      <c r="B5" s="8">
        <v>45781</v>
      </c>
      <c r="C5" t="s">
        <v>1</v>
      </c>
      <c r="D5" t="s">
        <v>48</v>
      </c>
      <c r="E5" t="s">
        <v>40</v>
      </c>
      <c r="F5" t="s">
        <v>36</v>
      </c>
      <c r="G5" t="s">
        <v>37</v>
      </c>
      <c r="H5">
        <v>1</v>
      </c>
      <c r="I5">
        <v>0</v>
      </c>
      <c r="J5">
        <v>0</v>
      </c>
      <c r="K5">
        <v>0</v>
      </c>
      <c r="L5">
        <v>0</v>
      </c>
      <c r="M5">
        <v>0</v>
      </c>
      <c r="N5">
        <v>0</v>
      </c>
      <c r="O5">
        <v>0</v>
      </c>
      <c r="Q5">
        <v>64.599999999999994</v>
      </c>
    </row>
    <row r="6" spans="1:17">
      <c r="A6" t="s">
        <v>49</v>
      </c>
      <c r="B6" s="8">
        <v>45700</v>
      </c>
      <c r="C6" t="s">
        <v>1</v>
      </c>
      <c r="D6" t="s">
        <v>34</v>
      </c>
      <c r="E6" t="s">
        <v>50</v>
      </c>
      <c r="F6" t="s">
        <v>41</v>
      </c>
      <c r="G6" t="s">
        <v>42</v>
      </c>
      <c r="H6">
        <v>0</v>
      </c>
      <c r="I6">
        <v>0</v>
      </c>
      <c r="J6">
        <v>0</v>
      </c>
      <c r="K6">
        <v>0</v>
      </c>
      <c r="L6">
        <v>0</v>
      </c>
      <c r="M6">
        <v>0</v>
      </c>
      <c r="N6">
        <v>0</v>
      </c>
      <c r="O6">
        <v>0</v>
      </c>
      <c r="Q6">
        <v>66.599999999999994</v>
      </c>
    </row>
    <row r="7" spans="1:17">
      <c r="A7" t="s">
        <v>51</v>
      </c>
      <c r="B7" s="8">
        <v>45685</v>
      </c>
      <c r="C7" t="s">
        <v>1</v>
      </c>
      <c r="D7" t="s">
        <v>44</v>
      </c>
      <c r="E7" t="s">
        <v>40</v>
      </c>
      <c r="F7" t="s">
        <v>41</v>
      </c>
      <c r="G7" t="s">
        <v>46</v>
      </c>
      <c r="H7">
        <v>1</v>
      </c>
      <c r="I7">
        <v>0</v>
      </c>
      <c r="J7">
        <v>0</v>
      </c>
      <c r="K7">
        <v>0</v>
      </c>
      <c r="L7">
        <v>0</v>
      </c>
      <c r="M7">
        <v>0</v>
      </c>
      <c r="N7">
        <v>0</v>
      </c>
      <c r="O7">
        <v>0</v>
      </c>
      <c r="Q7">
        <v>40.799999999999997</v>
      </c>
    </row>
    <row r="8" spans="1:17">
      <c r="A8" t="s">
        <v>52</v>
      </c>
      <c r="B8" s="8">
        <v>45755</v>
      </c>
      <c r="C8" t="s">
        <v>1</v>
      </c>
      <c r="D8" t="s">
        <v>44</v>
      </c>
      <c r="E8" t="s">
        <v>40</v>
      </c>
      <c r="F8" t="s">
        <v>45</v>
      </c>
      <c r="G8" t="s">
        <v>37</v>
      </c>
      <c r="H8">
        <v>1</v>
      </c>
      <c r="I8">
        <v>1</v>
      </c>
      <c r="J8">
        <v>0</v>
      </c>
      <c r="K8">
        <v>0</v>
      </c>
      <c r="L8">
        <v>0</v>
      </c>
      <c r="M8">
        <v>0</v>
      </c>
      <c r="N8">
        <v>0</v>
      </c>
      <c r="O8">
        <v>0</v>
      </c>
      <c r="Q8">
        <v>57.1</v>
      </c>
    </row>
    <row r="9" spans="1:17">
      <c r="A9" t="s">
        <v>53</v>
      </c>
      <c r="B9" s="8">
        <v>45794</v>
      </c>
      <c r="C9" t="s">
        <v>1</v>
      </c>
      <c r="D9" t="s">
        <v>48</v>
      </c>
      <c r="E9" t="s">
        <v>40</v>
      </c>
      <c r="F9" t="s">
        <v>45</v>
      </c>
      <c r="G9" t="s">
        <v>42</v>
      </c>
      <c r="H9">
        <v>0</v>
      </c>
      <c r="I9">
        <v>0</v>
      </c>
      <c r="J9">
        <v>0</v>
      </c>
      <c r="K9">
        <v>0</v>
      </c>
      <c r="L9">
        <v>0</v>
      </c>
      <c r="M9">
        <v>0</v>
      </c>
      <c r="N9">
        <v>0</v>
      </c>
      <c r="O9">
        <v>0</v>
      </c>
      <c r="Q9">
        <v>36.4</v>
      </c>
    </row>
    <row r="10" spans="1:17">
      <c r="A10" t="s">
        <v>54</v>
      </c>
      <c r="B10" s="8">
        <v>45711</v>
      </c>
      <c r="C10" t="s">
        <v>1</v>
      </c>
      <c r="D10" t="s">
        <v>48</v>
      </c>
      <c r="E10" t="s">
        <v>50</v>
      </c>
      <c r="F10" t="s">
        <v>55</v>
      </c>
      <c r="G10" t="s">
        <v>37</v>
      </c>
      <c r="H10">
        <v>0</v>
      </c>
      <c r="I10">
        <v>0</v>
      </c>
      <c r="J10">
        <v>0</v>
      </c>
      <c r="K10">
        <v>0</v>
      </c>
      <c r="L10">
        <v>0</v>
      </c>
      <c r="M10">
        <v>0</v>
      </c>
      <c r="N10">
        <v>0</v>
      </c>
      <c r="O10">
        <v>0</v>
      </c>
      <c r="Q10">
        <v>55.4</v>
      </c>
    </row>
    <row r="11" spans="1:17">
      <c r="A11" t="s">
        <v>56</v>
      </c>
      <c r="B11" s="8">
        <v>45806</v>
      </c>
      <c r="C11" t="s">
        <v>1</v>
      </c>
      <c r="D11" t="s">
        <v>39</v>
      </c>
      <c r="E11" t="s">
        <v>35</v>
      </c>
      <c r="F11" t="s">
        <v>57</v>
      </c>
      <c r="G11" t="s">
        <v>42</v>
      </c>
      <c r="H11">
        <v>1</v>
      </c>
      <c r="I11">
        <v>0</v>
      </c>
      <c r="J11">
        <v>0</v>
      </c>
      <c r="K11">
        <v>0</v>
      </c>
      <c r="L11">
        <v>0</v>
      </c>
      <c r="M11">
        <v>0</v>
      </c>
      <c r="N11">
        <v>0</v>
      </c>
      <c r="O11">
        <v>0</v>
      </c>
      <c r="Q11">
        <v>57.3</v>
      </c>
    </row>
    <row r="12" spans="1:17">
      <c r="A12" t="s">
        <v>58</v>
      </c>
      <c r="B12" s="8">
        <v>45777</v>
      </c>
      <c r="C12" t="s">
        <v>1</v>
      </c>
      <c r="D12" t="s">
        <v>44</v>
      </c>
      <c r="E12" t="s">
        <v>40</v>
      </c>
      <c r="F12" t="s">
        <v>45</v>
      </c>
      <c r="G12" t="s">
        <v>37</v>
      </c>
      <c r="H12">
        <v>1</v>
      </c>
      <c r="I12">
        <v>1</v>
      </c>
      <c r="J12">
        <v>1</v>
      </c>
      <c r="K12">
        <v>0</v>
      </c>
      <c r="L12">
        <v>0</v>
      </c>
      <c r="M12">
        <v>0</v>
      </c>
      <c r="N12">
        <v>0</v>
      </c>
      <c r="O12">
        <v>0</v>
      </c>
      <c r="Q12">
        <v>63.6</v>
      </c>
    </row>
    <row r="13" spans="1:17">
      <c r="A13" t="s">
        <v>59</v>
      </c>
      <c r="B13" s="8">
        <v>45732</v>
      </c>
      <c r="C13" t="s">
        <v>1</v>
      </c>
      <c r="D13" t="s">
        <v>44</v>
      </c>
      <c r="E13" t="s">
        <v>40</v>
      </c>
      <c r="F13" t="s">
        <v>57</v>
      </c>
      <c r="G13" t="s">
        <v>46</v>
      </c>
      <c r="H13">
        <v>1</v>
      </c>
      <c r="I13">
        <v>1</v>
      </c>
      <c r="J13">
        <v>1</v>
      </c>
      <c r="K13">
        <v>0</v>
      </c>
      <c r="L13">
        <v>0</v>
      </c>
      <c r="M13">
        <v>1</v>
      </c>
      <c r="N13">
        <v>1</v>
      </c>
      <c r="O13">
        <v>0</v>
      </c>
      <c r="Q13">
        <v>80.400000000000006</v>
      </c>
    </row>
    <row r="14" spans="1:17">
      <c r="A14" t="s">
        <v>60</v>
      </c>
      <c r="B14" s="8">
        <v>45695</v>
      </c>
      <c r="C14" t="s">
        <v>1</v>
      </c>
      <c r="D14" t="s">
        <v>48</v>
      </c>
      <c r="E14" t="s">
        <v>35</v>
      </c>
      <c r="F14" t="s">
        <v>36</v>
      </c>
      <c r="G14" t="s">
        <v>37</v>
      </c>
      <c r="H14">
        <v>1</v>
      </c>
      <c r="I14">
        <v>0</v>
      </c>
      <c r="J14">
        <v>0</v>
      </c>
      <c r="K14">
        <v>0</v>
      </c>
      <c r="L14">
        <v>0</v>
      </c>
      <c r="M14">
        <v>0</v>
      </c>
      <c r="N14">
        <v>0</v>
      </c>
      <c r="O14">
        <v>0</v>
      </c>
      <c r="Q14">
        <v>62.4</v>
      </c>
    </row>
    <row r="15" spans="1:17">
      <c r="A15" t="s">
        <v>61</v>
      </c>
      <c r="B15" s="8">
        <v>45718</v>
      </c>
      <c r="C15" t="s">
        <v>1</v>
      </c>
      <c r="D15" t="s">
        <v>39</v>
      </c>
      <c r="E15" t="s">
        <v>40</v>
      </c>
      <c r="F15" t="s">
        <v>57</v>
      </c>
      <c r="G15" t="s">
        <v>37</v>
      </c>
      <c r="H15">
        <v>1</v>
      </c>
      <c r="I15">
        <v>0</v>
      </c>
      <c r="J15">
        <v>0</v>
      </c>
      <c r="K15">
        <v>0</v>
      </c>
      <c r="L15">
        <v>0</v>
      </c>
      <c r="M15">
        <v>0</v>
      </c>
      <c r="N15">
        <v>0</v>
      </c>
      <c r="O15">
        <v>0</v>
      </c>
      <c r="Q15">
        <v>82.4</v>
      </c>
    </row>
    <row r="16" spans="1:17">
      <c r="A16" t="s">
        <v>62</v>
      </c>
      <c r="B16" s="8">
        <v>45807</v>
      </c>
      <c r="C16" t="s">
        <v>1</v>
      </c>
      <c r="D16" t="s">
        <v>48</v>
      </c>
      <c r="E16" t="s">
        <v>40</v>
      </c>
      <c r="F16" t="s">
        <v>41</v>
      </c>
      <c r="G16" t="s">
        <v>37</v>
      </c>
      <c r="H16">
        <v>0</v>
      </c>
      <c r="I16">
        <v>0</v>
      </c>
      <c r="J16">
        <v>0</v>
      </c>
      <c r="K16">
        <v>0</v>
      </c>
      <c r="L16">
        <v>0</v>
      </c>
      <c r="M16">
        <v>0</v>
      </c>
      <c r="N16">
        <v>0</v>
      </c>
      <c r="O16">
        <v>0</v>
      </c>
      <c r="Q16">
        <v>61.2</v>
      </c>
    </row>
    <row r="17" spans="1:17">
      <c r="A17" t="s">
        <v>63</v>
      </c>
      <c r="B17" s="8">
        <v>45741</v>
      </c>
      <c r="C17" t="s">
        <v>1</v>
      </c>
      <c r="D17" t="s">
        <v>48</v>
      </c>
      <c r="E17" t="s">
        <v>40</v>
      </c>
      <c r="F17" t="s">
        <v>57</v>
      </c>
      <c r="G17" t="s">
        <v>37</v>
      </c>
      <c r="H17">
        <v>1</v>
      </c>
      <c r="I17">
        <v>0</v>
      </c>
      <c r="J17">
        <v>0</v>
      </c>
      <c r="K17">
        <v>0</v>
      </c>
      <c r="L17">
        <v>0</v>
      </c>
      <c r="M17">
        <v>0</v>
      </c>
      <c r="N17">
        <v>0</v>
      </c>
      <c r="O17">
        <v>0</v>
      </c>
      <c r="Q17">
        <v>68.900000000000006</v>
      </c>
    </row>
    <row r="18" spans="1:17">
      <c r="A18" t="s">
        <v>64</v>
      </c>
      <c r="B18" s="8">
        <v>45743</v>
      </c>
      <c r="C18" t="s">
        <v>1</v>
      </c>
      <c r="D18" t="s">
        <v>44</v>
      </c>
      <c r="E18" t="s">
        <v>35</v>
      </c>
      <c r="F18" t="s">
        <v>45</v>
      </c>
      <c r="G18" t="s">
        <v>42</v>
      </c>
      <c r="H18">
        <v>1</v>
      </c>
      <c r="I18">
        <v>1</v>
      </c>
      <c r="J18">
        <v>1</v>
      </c>
      <c r="K18">
        <v>0</v>
      </c>
      <c r="L18">
        <v>0</v>
      </c>
      <c r="M18">
        <v>0</v>
      </c>
      <c r="N18">
        <v>0</v>
      </c>
      <c r="O18">
        <v>0</v>
      </c>
      <c r="Q18">
        <v>71.900000000000006</v>
      </c>
    </row>
    <row r="19" spans="1:17">
      <c r="A19" t="s">
        <v>65</v>
      </c>
      <c r="B19" s="8">
        <v>45805</v>
      </c>
      <c r="C19" t="s">
        <v>1</v>
      </c>
      <c r="D19" t="s">
        <v>48</v>
      </c>
      <c r="E19" t="s">
        <v>35</v>
      </c>
      <c r="F19" t="s">
        <v>45</v>
      </c>
      <c r="G19" t="s">
        <v>42</v>
      </c>
      <c r="H19">
        <v>0</v>
      </c>
      <c r="I19">
        <v>0</v>
      </c>
      <c r="J19">
        <v>0</v>
      </c>
      <c r="K19">
        <v>0</v>
      </c>
      <c r="L19">
        <v>0</v>
      </c>
      <c r="M19">
        <v>0</v>
      </c>
      <c r="N19">
        <v>0</v>
      </c>
      <c r="O19">
        <v>0</v>
      </c>
      <c r="Q19">
        <v>50.5</v>
      </c>
    </row>
    <row r="20" spans="1:17">
      <c r="A20" t="s">
        <v>66</v>
      </c>
      <c r="B20" s="8">
        <v>45703</v>
      </c>
      <c r="C20" t="s">
        <v>1</v>
      </c>
      <c r="D20" t="s">
        <v>34</v>
      </c>
      <c r="E20" t="s">
        <v>35</v>
      </c>
      <c r="F20" t="s">
        <v>45</v>
      </c>
      <c r="G20" t="s">
        <v>37</v>
      </c>
      <c r="H20">
        <v>0</v>
      </c>
      <c r="I20">
        <v>0</v>
      </c>
      <c r="J20">
        <v>0</v>
      </c>
      <c r="K20">
        <v>0</v>
      </c>
      <c r="L20">
        <v>0</v>
      </c>
      <c r="M20">
        <v>0</v>
      </c>
      <c r="N20">
        <v>0</v>
      </c>
      <c r="O20">
        <v>0</v>
      </c>
      <c r="Q20">
        <v>49.3</v>
      </c>
    </row>
    <row r="21" spans="1:17">
      <c r="A21" t="s">
        <v>67</v>
      </c>
      <c r="B21" s="8">
        <v>45782</v>
      </c>
      <c r="C21" t="s">
        <v>1</v>
      </c>
      <c r="D21" t="s">
        <v>39</v>
      </c>
      <c r="E21" t="s">
        <v>35</v>
      </c>
      <c r="F21" t="s">
        <v>41</v>
      </c>
      <c r="G21" t="s">
        <v>37</v>
      </c>
      <c r="H21">
        <v>0</v>
      </c>
      <c r="I21">
        <v>0</v>
      </c>
      <c r="J21">
        <v>0</v>
      </c>
      <c r="K21">
        <v>0</v>
      </c>
      <c r="L21">
        <v>0</v>
      </c>
      <c r="M21">
        <v>2</v>
      </c>
      <c r="N21">
        <v>1</v>
      </c>
      <c r="O21">
        <v>0</v>
      </c>
      <c r="Q21">
        <v>60.9</v>
      </c>
    </row>
    <row r="22" spans="1:17">
      <c r="A22" t="s">
        <v>68</v>
      </c>
      <c r="B22" s="8">
        <v>45760</v>
      </c>
      <c r="C22" t="s">
        <v>1</v>
      </c>
      <c r="D22" t="s">
        <v>44</v>
      </c>
      <c r="E22" t="s">
        <v>40</v>
      </c>
      <c r="F22" t="s">
        <v>57</v>
      </c>
      <c r="G22" t="s">
        <v>42</v>
      </c>
      <c r="H22">
        <v>1</v>
      </c>
      <c r="I22">
        <v>0</v>
      </c>
      <c r="J22">
        <v>0</v>
      </c>
      <c r="K22">
        <v>0</v>
      </c>
      <c r="L22">
        <v>0</v>
      </c>
      <c r="M22">
        <v>0</v>
      </c>
      <c r="N22">
        <v>0</v>
      </c>
      <c r="O22">
        <v>0</v>
      </c>
      <c r="Q22">
        <v>62.7</v>
      </c>
    </row>
    <row r="23" spans="1:17">
      <c r="A23" t="s">
        <v>69</v>
      </c>
      <c r="B23" s="8">
        <v>45784</v>
      </c>
      <c r="C23" t="s">
        <v>1</v>
      </c>
      <c r="D23" t="s">
        <v>34</v>
      </c>
      <c r="E23" t="s">
        <v>35</v>
      </c>
      <c r="F23" t="s">
        <v>45</v>
      </c>
      <c r="G23" t="s">
        <v>42</v>
      </c>
      <c r="H23">
        <v>0</v>
      </c>
      <c r="I23">
        <v>0</v>
      </c>
      <c r="J23">
        <v>0</v>
      </c>
      <c r="K23">
        <v>0</v>
      </c>
      <c r="L23">
        <v>0</v>
      </c>
      <c r="M23">
        <v>0</v>
      </c>
      <c r="N23">
        <v>0</v>
      </c>
      <c r="O23">
        <v>0</v>
      </c>
      <c r="Q23">
        <v>52.7</v>
      </c>
    </row>
    <row r="24" spans="1:17">
      <c r="A24" t="s">
        <v>70</v>
      </c>
      <c r="B24" s="8">
        <v>45802</v>
      </c>
      <c r="C24" t="s">
        <v>1</v>
      </c>
      <c r="D24" t="s">
        <v>34</v>
      </c>
      <c r="E24" t="s">
        <v>35</v>
      </c>
      <c r="F24" t="s">
        <v>41</v>
      </c>
      <c r="G24" t="s">
        <v>42</v>
      </c>
      <c r="H24">
        <v>0</v>
      </c>
      <c r="I24">
        <v>0</v>
      </c>
      <c r="J24">
        <v>0</v>
      </c>
      <c r="K24">
        <v>0</v>
      </c>
      <c r="L24">
        <v>0</v>
      </c>
      <c r="M24">
        <v>0</v>
      </c>
      <c r="N24">
        <v>0</v>
      </c>
      <c r="O24">
        <v>0</v>
      </c>
      <c r="Q24">
        <v>54</v>
      </c>
    </row>
    <row r="25" spans="1:17">
      <c r="A25" t="s">
        <v>71</v>
      </c>
      <c r="B25" s="8">
        <v>45748</v>
      </c>
      <c r="C25" t="s">
        <v>1</v>
      </c>
      <c r="D25" t="s">
        <v>44</v>
      </c>
      <c r="E25" t="s">
        <v>40</v>
      </c>
      <c r="F25" t="s">
        <v>45</v>
      </c>
      <c r="G25" t="s">
        <v>46</v>
      </c>
      <c r="H25">
        <v>1</v>
      </c>
      <c r="I25">
        <v>1</v>
      </c>
      <c r="J25">
        <v>0</v>
      </c>
      <c r="K25">
        <v>0</v>
      </c>
      <c r="L25">
        <v>0</v>
      </c>
      <c r="M25">
        <v>0</v>
      </c>
      <c r="N25">
        <v>0</v>
      </c>
      <c r="O25">
        <v>0</v>
      </c>
      <c r="Q25">
        <v>51.6</v>
      </c>
    </row>
    <row r="26" spans="1:17">
      <c r="A26" t="s">
        <v>72</v>
      </c>
      <c r="B26" s="8">
        <v>45710</v>
      </c>
      <c r="C26" t="s">
        <v>1</v>
      </c>
      <c r="D26" t="s">
        <v>34</v>
      </c>
      <c r="E26" t="s">
        <v>40</v>
      </c>
      <c r="F26" t="s">
        <v>45</v>
      </c>
      <c r="G26" t="s">
        <v>46</v>
      </c>
      <c r="H26">
        <v>0</v>
      </c>
      <c r="I26">
        <v>0</v>
      </c>
      <c r="J26">
        <v>0</v>
      </c>
      <c r="K26">
        <v>0</v>
      </c>
      <c r="L26">
        <v>0</v>
      </c>
      <c r="M26">
        <v>2</v>
      </c>
      <c r="N26">
        <v>1</v>
      </c>
      <c r="O26">
        <v>0</v>
      </c>
      <c r="Q26">
        <v>66.900000000000006</v>
      </c>
    </row>
    <row r="27" spans="1:17">
      <c r="A27" t="s">
        <v>73</v>
      </c>
      <c r="B27" s="8">
        <v>45740</v>
      </c>
      <c r="C27" t="s">
        <v>1</v>
      </c>
      <c r="D27" t="s">
        <v>44</v>
      </c>
      <c r="E27" t="s">
        <v>40</v>
      </c>
      <c r="F27" t="s">
        <v>41</v>
      </c>
      <c r="G27" t="s">
        <v>37</v>
      </c>
      <c r="H27">
        <v>0</v>
      </c>
      <c r="I27">
        <v>0</v>
      </c>
      <c r="J27">
        <v>0</v>
      </c>
      <c r="K27">
        <v>0</v>
      </c>
      <c r="L27">
        <v>0</v>
      </c>
      <c r="M27">
        <v>0</v>
      </c>
      <c r="N27">
        <v>0</v>
      </c>
      <c r="O27">
        <v>0</v>
      </c>
      <c r="Q27">
        <v>67.400000000000006</v>
      </c>
    </row>
    <row r="28" spans="1:17">
      <c r="A28" t="s">
        <v>74</v>
      </c>
      <c r="B28" s="8">
        <v>45701</v>
      </c>
      <c r="C28" t="s">
        <v>1</v>
      </c>
      <c r="D28" t="s">
        <v>34</v>
      </c>
      <c r="E28" t="s">
        <v>40</v>
      </c>
      <c r="F28" t="s">
        <v>41</v>
      </c>
      <c r="G28" t="s">
        <v>42</v>
      </c>
      <c r="H28">
        <v>0</v>
      </c>
      <c r="I28">
        <v>0</v>
      </c>
      <c r="J28">
        <v>0</v>
      </c>
      <c r="K28">
        <v>0</v>
      </c>
      <c r="L28">
        <v>0</v>
      </c>
      <c r="M28">
        <v>0</v>
      </c>
      <c r="N28">
        <v>0</v>
      </c>
      <c r="O28">
        <v>0</v>
      </c>
      <c r="Q28">
        <v>58.8</v>
      </c>
    </row>
    <row r="29" spans="1:17">
      <c r="A29" t="s">
        <v>75</v>
      </c>
      <c r="B29" s="8">
        <v>45807</v>
      </c>
      <c r="C29" t="s">
        <v>1</v>
      </c>
      <c r="D29" t="s">
        <v>48</v>
      </c>
      <c r="E29" t="s">
        <v>40</v>
      </c>
      <c r="F29" t="s">
        <v>41</v>
      </c>
      <c r="G29" t="s">
        <v>42</v>
      </c>
      <c r="H29">
        <v>1</v>
      </c>
      <c r="I29">
        <v>0</v>
      </c>
      <c r="J29">
        <v>0</v>
      </c>
      <c r="K29">
        <v>0</v>
      </c>
      <c r="L29">
        <v>0</v>
      </c>
      <c r="M29">
        <v>0</v>
      </c>
      <c r="N29">
        <v>0</v>
      </c>
      <c r="O29">
        <v>0</v>
      </c>
      <c r="Q29">
        <v>73.8</v>
      </c>
    </row>
    <row r="30" spans="1:17">
      <c r="A30" t="s">
        <v>76</v>
      </c>
      <c r="B30" s="8">
        <v>45677</v>
      </c>
      <c r="C30" t="s">
        <v>1</v>
      </c>
      <c r="D30" t="s">
        <v>44</v>
      </c>
      <c r="E30" t="s">
        <v>50</v>
      </c>
      <c r="F30" t="s">
        <v>41</v>
      </c>
      <c r="G30" t="s">
        <v>37</v>
      </c>
      <c r="H30">
        <v>0</v>
      </c>
      <c r="I30">
        <v>0</v>
      </c>
      <c r="J30">
        <v>0</v>
      </c>
      <c r="K30">
        <v>0</v>
      </c>
      <c r="L30">
        <v>0</v>
      </c>
      <c r="M30">
        <v>0</v>
      </c>
      <c r="N30">
        <v>0</v>
      </c>
      <c r="O30">
        <v>0</v>
      </c>
      <c r="Q30">
        <v>60.1</v>
      </c>
    </row>
    <row r="31" spans="1:17">
      <c r="A31" t="s">
        <v>77</v>
      </c>
      <c r="B31" s="8">
        <v>45796</v>
      </c>
      <c r="C31" t="s">
        <v>1</v>
      </c>
      <c r="D31" t="s">
        <v>44</v>
      </c>
      <c r="E31" t="s">
        <v>40</v>
      </c>
      <c r="F31" t="s">
        <v>57</v>
      </c>
      <c r="G31" t="s">
        <v>37</v>
      </c>
      <c r="H31">
        <v>1</v>
      </c>
      <c r="I31">
        <v>1</v>
      </c>
      <c r="J31">
        <v>1</v>
      </c>
      <c r="K31">
        <v>0</v>
      </c>
      <c r="L31">
        <v>0</v>
      </c>
      <c r="M31">
        <v>0</v>
      </c>
      <c r="N31">
        <v>0</v>
      </c>
      <c r="O31">
        <v>0</v>
      </c>
      <c r="Q31">
        <v>41</v>
      </c>
    </row>
    <row r="32" spans="1:17">
      <c r="A32" t="s">
        <v>78</v>
      </c>
      <c r="B32" s="8">
        <v>45706</v>
      </c>
      <c r="C32" t="s">
        <v>1</v>
      </c>
      <c r="D32" t="s">
        <v>48</v>
      </c>
      <c r="E32" t="s">
        <v>40</v>
      </c>
      <c r="F32" t="s">
        <v>41</v>
      </c>
      <c r="G32" t="s">
        <v>37</v>
      </c>
      <c r="H32">
        <v>1</v>
      </c>
      <c r="I32">
        <v>0</v>
      </c>
      <c r="J32">
        <v>0</v>
      </c>
      <c r="K32">
        <v>0</v>
      </c>
      <c r="L32">
        <v>0</v>
      </c>
      <c r="M32">
        <v>0</v>
      </c>
      <c r="N32">
        <v>0</v>
      </c>
      <c r="O32">
        <v>0</v>
      </c>
      <c r="Q32">
        <v>80.3</v>
      </c>
    </row>
    <row r="33" spans="1:17">
      <c r="A33" t="s">
        <v>79</v>
      </c>
      <c r="B33" s="8">
        <v>45701</v>
      </c>
      <c r="C33" t="s">
        <v>1</v>
      </c>
      <c r="D33" t="s">
        <v>44</v>
      </c>
      <c r="E33" t="s">
        <v>40</v>
      </c>
      <c r="F33" t="s">
        <v>41</v>
      </c>
      <c r="G33" t="s">
        <v>42</v>
      </c>
      <c r="H33">
        <v>0</v>
      </c>
      <c r="I33">
        <v>0</v>
      </c>
      <c r="J33">
        <v>0</v>
      </c>
      <c r="K33">
        <v>0</v>
      </c>
      <c r="L33">
        <v>0</v>
      </c>
      <c r="M33">
        <v>0</v>
      </c>
      <c r="N33">
        <v>0</v>
      </c>
      <c r="O33">
        <v>0</v>
      </c>
      <c r="Q33">
        <v>67.599999999999994</v>
      </c>
    </row>
    <row r="34" spans="1:17">
      <c r="A34" t="s">
        <v>80</v>
      </c>
      <c r="B34" s="8">
        <v>45724</v>
      </c>
      <c r="C34" t="s">
        <v>1</v>
      </c>
      <c r="D34" t="s">
        <v>44</v>
      </c>
      <c r="E34" t="s">
        <v>35</v>
      </c>
      <c r="F34" t="s">
        <v>55</v>
      </c>
      <c r="G34" t="s">
        <v>46</v>
      </c>
      <c r="H34">
        <v>0</v>
      </c>
      <c r="I34">
        <v>0</v>
      </c>
      <c r="J34">
        <v>0</v>
      </c>
      <c r="K34">
        <v>0</v>
      </c>
      <c r="L34">
        <v>0</v>
      </c>
      <c r="M34">
        <v>0</v>
      </c>
      <c r="N34">
        <v>0</v>
      </c>
      <c r="O34">
        <v>0</v>
      </c>
      <c r="Q34">
        <v>64</v>
      </c>
    </row>
    <row r="35" spans="1:17">
      <c r="A35" t="s">
        <v>81</v>
      </c>
      <c r="B35" s="8">
        <v>45668</v>
      </c>
      <c r="C35" t="s">
        <v>1</v>
      </c>
      <c r="D35" t="s">
        <v>34</v>
      </c>
      <c r="E35" t="s">
        <v>40</v>
      </c>
      <c r="F35" t="s">
        <v>45</v>
      </c>
      <c r="G35" t="s">
        <v>42</v>
      </c>
      <c r="H35">
        <v>1</v>
      </c>
      <c r="I35">
        <v>1</v>
      </c>
      <c r="J35">
        <v>0</v>
      </c>
      <c r="K35">
        <v>0</v>
      </c>
      <c r="L35">
        <v>0</v>
      </c>
      <c r="M35">
        <v>0</v>
      </c>
      <c r="N35">
        <v>0</v>
      </c>
      <c r="O35">
        <v>0</v>
      </c>
      <c r="Q35">
        <v>27.2</v>
      </c>
    </row>
    <row r="36" spans="1:17">
      <c r="A36" t="s">
        <v>82</v>
      </c>
      <c r="B36" s="8">
        <v>45700</v>
      </c>
      <c r="C36" t="s">
        <v>1</v>
      </c>
      <c r="D36" t="s">
        <v>34</v>
      </c>
      <c r="E36" t="s">
        <v>35</v>
      </c>
      <c r="F36" t="s">
        <v>41</v>
      </c>
      <c r="G36" t="s">
        <v>42</v>
      </c>
      <c r="H36">
        <v>1</v>
      </c>
      <c r="I36">
        <v>0</v>
      </c>
      <c r="J36">
        <v>0</v>
      </c>
      <c r="K36">
        <v>0</v>
      </c>
      <c r="L36">
        <v>0</v>
      </c>
      <c r="M36">
        <v>0</v>
      </c>
      <c r="N36">
        <v>0</v>
      </c>
      <c r="O36">
        <v>0</v>
      </c>
      <c r="Q36">
        <v>85.4</v>
      </c>
    </row>
    <row r="37" spans="1:17">
      <c r="A37" t="s">
        <v>83</v>
      </c>
      <c r="B37" s="8">
        <v>45760</v>
      </c>
      <c r="C37" t="s">
        <v>1</v>
      </c>
      <c r="D37" t="s">
        <v>44</v>
      </c>
      <c r="E37" t="s">
        <v>35</v>
      </c>
      <c r="F37" t="s">
        <v>41</v>
      </c>
      <c r="G37" t="s">
        <v>37</v>
      </c>
      <c r="H37">
        <v>1</v>
      </c>
      <c r="I37">
        <v>0</v>
      </c>
      <c r="J37">
        <v>0</v>
      </c>
      <c r="K37">
        <v>0</v>
      </c>
      <c r="L37">
        <v>0</v>
      </c>
      <c r="M37">
        <v>0</v>
      </c>
      <c r="N37">
        <v>0</v>
      </c>
      <c r="O37">
        <v>0</v>
      </c>
      <c r="Q37">
        <v>75.900000000000006</v>
      </c>
    </row>
    <row r="38" spans="1:17">
      <c r="A38" t="s">
        <v>84</v>
      </c>
      <c r="B38" s="8">
        <v>45786</v>
      </c>
      <c r="C38" t="s">
        <v>1</v>
      </c>
      <c r="D38" t="s">
        <v>44</v>
      </c>
      <c r="E38" t="s">
        <v>40</v>
      </c>
      <c r="F38" t="s">
        <v>41</v>
      </c>
      <c r="G38" t="s">
        <v>46</v>
      </c>
      <c r="H38">
        <v>1</v>
      </c>
      <c r="I38">
        <v>0</v>
      </c>
      <c r="J38">
        <v>0</v>
      </c>
      <c r="K38">
        <v>0</v>
      </c>
      <c r="L38">
        <v>0</v>
      </c>
      <c r="M38">
        <v>1</v>
      </c>
      <c r="N38">
        <v>1</v>
      </c>
      <c r="O38">
        <v>0</v>
      </c>
      <c r="Q38">
        <v>34.799999999999997</v>
      </c>
    </row>
    <row r="39" spans="1:17">
      <c r="A39" t="s">
        <v>85</v>
      </c>
      <c r="B39" s="8">
        <v>45677</v>
      </c>
      <c r="C39" t="s">
        <v>1</v>
      </c>
      <c r="D39" t="s">
        <v>44</v>
      </c>
      <c r="E39" t="s">
        <v>40</v>
      </c>
      <c r="F39" t="s">
        <v>41</v>
      </c>
      <c r="G39" t="s">
        <v>42</v>
      </c>
      <c r="H39">
        <v>1</v>
      </c>
      <c r="I39">
        <v>1</v>
      </c>
      <c r="J39">
        <v>1</v>
      </c>
      <c r="K39">
        <v>0</v>
      </c>
      <c r="L39">
        <v>0</v>
      </c>
      <c r="M39">
        <v>3</v>
      </c>
      <c r="N39">
        <v>1</v>
      </c>
      <c r="O39">
        <v>0</v>
      </c>
      <c r="Q39">
        <v>48.9</v>
      </c>
    </row>
    <row r="40" spans="1:17">
      <c r="A40" t="s">
        <v>86</v>
      </c>
      <c r="B40" s="8">
        <v>45790</v>
      </c>
      <c r="C40" t="s">
        <v>1</v>
      </c>
      <c r="D40" t="s">
        <v>44</v>
      </c>
      <c r="E40" t="s">
        <v>40</v>
      </c>
      <c r="F40" t="s">
        <v>36</v>
      </c>
      <c r="G40" t="s">
        <v>46</v>
      </c>
      <c r="H40">
        <v>1</v>
      </c>
      <c r="I40">
        <v>0</v>
      </c>
      <c r="J40">
        <v>0</v>
      </c>
      <c r="K40">
        <v>0</v>
      </c>
      <c r="L40">
        <v>0</v>
      </c>
      <c r="M40">
        <v>0</v>
      </c>
      <c r="N40">
        <v>0</v>
      </c>
      <c r="O40">
        <v>0</v>
      </c>
      <c r="Q40">
        <v>41.5</v>
      </c>
    </row>
    <row r="41" spans="1:17">
      <c r="A41" t="s">
        <v>87</v>
      </c>
      <c r="B41" s="8">
        <v>45754</v>
      </c>
      <c r="C41" t="s">
        <v>1</v>
      </c>
      <c r="D41" t="s">
        <v>34</v>
      </c>
      <c r="E41" t="s">
        <v>35</v>
      </c>
      <c r="F41" t="s">
        <v>41</v>
      </c>
      <c r="G41" t="s">
        <v>37</v>
      </c>
      <c r="H41">
        <v>1</v>
      </c>
      <c r="I41">
        <v>0</v>
      </c>
      <c r="J41">
        <v>0</v>
      </c>
      <c r="K41">
        <v>0</v>
      </c>
      <c r="L41">
        <v>0</v>
      </c>
      <c r="M41">
        <v>0</v>
      </c>
      <c r="N41">
        <v>0</v>
      </c>
      <c r="O41">
        <v>0</v>
      </c>
      <c r="Q41">
        <v>51.5</v>
      </c>
    </row>
    <row r="42" spans="1:17">
      <c r="A42" t="s">
        <v>88</v>
      </c>
      <c r="B42" s="8">
        <v>45747</v>
      </c>
      <c r="C42" t="s">
        <v>1</v>
      </c>
      <c r="D42" t="s">
        <v>34</v>
      </c>
      <c r="E42" t="s">
        <v>35</v>
      </c>
      <c r="F42" t="s">
        <v>41</v>
      </c>
      <c r="G42" t="s">
        <v>42</v>
      </c>
      <c r="H42">
        <v>0</v>
      </c>
      <c r="I42">
        <v>0</v>
      </c>
      <c r="J42">
        <v>0</v>
      </c>
      <c r="K42">
        <v>0</v>
      </c>
      <c r="L42">
        <v>0</v>
      </c>
      <c r="M42">
        <v>0</v>
      </c>
      <c r="N42">
        <v>0</v>
      </c>
      <c r="O42">
        <v>0</v>
      </c>
      <c r="Q42">
        <v>53.2</v>
      </c>
    </row>
    <row r="43" spans="1:17">
      <c r="A43" t="s">
        <v>89</v>
      </c>
      <c r="B43" s="8">
        <v>45682</v>
      </c>
      <c r="C43" t="s">
        <v>1</v>
      </c>
      <c r="D43" t="s">
        <v>44</v>
      </c>
      <c r="E43" t="s">
        <v>40</v>
      </c>
      <c r="F43" t="s">
        <v>36</v>
      </c>
      <c r="G43" t="s">
        <v>46</v>
      </c>
      <c r="H43">
        <v>0</v>
      </c>
      <c r="I43">
        <v>0</v>
      </c>
      <c r="J43">
        <v>0</v>
      </c>
      <c r="K43">
        <v>0</v>
      </c>
      <c r="L43">
        <v>0</v>
      </c>
      <c r="M43">
        <v>0</v>
      </c>
      <c r="N43">
        <v>0</v>
      </c>
      <c r="O43">
        <v>0</v>
      </c>
      <c r="Q43">
        <v>55.6</v>
      </c>
    </row>
    <row r="44" spans="1:17">
      <c r="A44" t="s">
        <v>90</v>
      </c>
      <c r="B44" s="8">
        <v>45702</v>
      </c>
      <c r="C44" t="s">
        <v>1</v>
      </c>
      <c r="D44" t="s">
        <v>48</v>
      </c>
      <c r="E44" t="s">
        <v>35</v>
      </c>
      <c r="F44" t="s">
        <v>41</v>
      </c>
      <c r="G44" t="s">
        <v>42</v>
      </c>
      <c r="H44">
        <v>0</v>
      </c>
      <c r="I44">
        <v>0</v>
      </c>
      <c r="J44">
        <v>0</v>
      </c>
      <c r="K44">
        <v>0</v>
      </c>
      <c r="L44">
        <v>0</v>
      </c>
      <c r="M44">
        <v>0</v>
      </c>
      <c r="N44">
        <v>0</v>
      </c>
      <c r="O44">
        <v>0</v>
      </c>
      <c r="Q44">
        <v>73</v>
      </c>
    </row>
    <row r="45" spans="1:17">
      <c r="A45" t="s">
        <v>91</v>
      </c>
      <c r="B45" s="8">
        <v>45715</v>
      </c>
      <c r="C45" t="s">
        <v>1</v>
      </c>
      <c r="D45" t="s">
        <v>44</v>
      </c>
      <c r="E45" t="s">
        <v>40</v>
      </c>
      <c r="F45" t="s">
        <v>36</v>
      </c>
      <c r="G45" t="s">
        <v>42</v>
      </c>
      <c r="H45">
        <v>1</v>
      </c>
      <c r="I45">
        <v>0</v>
      </c>
      <c r="J45">
        <v>0</v>
      </c>
      <c r="K45">
        <v>0</v>
      </c>
      <c r="L45">
        <v>0</v>
      </c>
      <c r="M45">
        <v>0</v>
      </c>
      <c r="N45">
        <v>0</v>
      </c>
      <c r="O45">
        <v>0</v>
      </c>
      <c r="Q45">
        <v>65</v>
      </c>
    </row>
    <row r="46" spans="1:17">
      <c r="A46" t="s">
        <v>92</v>
      </c>
      <c r="B46" s="8">
        <v>45744</v>
      </c>
      <c r="C46" t="s">
        <v>1</v>
      </c>
      <c r="D46" t="s">
        <v>44</v>
      </c>
      <c r="E46" t="s">
        <v>40</v>
      </c>
      <c r="F46" t="s">
        <v>57</v>
      </c>
      <c r="G46" t="s">
        <v>42</v>
      </c>
      <c r="H46">
        <v>1</v>
      </c>
      <c r="I46">
        <v>0</v>
      </c>
      <c r="J46">
        <v>0</v>
      </c>
      <c r="K46">
        <v>0</v>
      </c>
      <c r="L46">
        <v>0</v>
      </c>
      <c r="M46">
        <v>4</v>
      </c>
      <c r="N46">
        <v>1</v>
      </c>
      <c r="O46">
        <v>0</v>
      </c>
      <c r="Q46">
        <v>56.3</v>
      </c>
    </row>
    <row r="47" spans="1:17">
      <c r="A47" t="s">
        <v>93</v>
      </c>
      <c r="B47" s="8">
        <v>45802</v>
      </c>
      <c r="C47" t="s">
        <v>1</v>
      </c>
      <c r="D47" t="s">
        <v>44</v>
      </c>
      <c r="E47" t="s">
        <v>40</v>
      </c>
      <c r="F47" t="s">
        <v>55</v>
      </c>
      <c r="G47" t="s">
        <v>46</v>
      </c>
      <c r="H47">
        <v>1</v>
      </c>
      <c r="I47">
        <v>0</v>
      </c>
      <c r="J47">
        <v>0</v>
      </c>
      <c r="K47">
        <v>0</v>
      </c>
      <c r="L47">
        <v>0</v>
      </c>
      <c r="M47">
        <v>0</v>
      </c>
      <c r="N47">
        <v>0</v>
      </c>
      <c r="O47">
        <v>0</v>
      </c>
      <c r="Q47">
        <v>62.4</v>
      </c>
    </row>
    <row r="48" spans="1:17">
      <c r="A48" t="s">
        <v>94</v>
      </c>
      <c r="B48" s="8">
        <v>45782</v>
      </c>
      <c r="C48" t="s">
        <v>1</v>
      </c>
      <c r="D48" t="s">
        <v>39</v>
      </c>
      <c r="E48" t="s">
        <v>35</v>
      </c>
      <c r="F48" t="s">
        <v>41</v>
      </c>
      <c r="G48" t="s">
        <v>42</v>
      </c>
      <c r="H48">
        <v>1</v>
      </c>
      <c r="I48">
        <v>1</v>
      </c>
      <c r="J48">
        <v>1</v>
      </c>
      <c r="K48">
        <v>0</v>
      </c>
      <c r="L48">
        <v>0</v>
      </c>
      <c r="M48">
        <v>0</v>
      </c>
      <c r="N48">
        <v>0</v>
      </c>
      <c r="O48">
        <v>0</v>
      </c>
      <c r="Q48">
        <v>58.1</v>
      </c>
    </row>
    <row r="49" spans="1:17">
      <c r="A49" t="s">
        <v>95</v>
      </c>
      <c r="B49" s="8">
        <v>45793</v>
      </c>
      <c r="C49" t="s">
        <v>1</v>
      </c>
      <c r="D49" t="s">
        <v>34</v>
      </c>
      <c r="E49" t="s">
        <v>40</v>
      </c>
      <c r="F49" t="s">
        <v>41</v>
      </c>
      <c r="G49" t="s">
        <v>42</v>
      </c>
      <c r="H49">
        <v>1</v>
      </c>
      <c r="I49">
        <v>1</v>
      </c>
      <c r="J49">
        <v>1</v>
      </c>
      <c r="K49">
        <v>0</v>
      </c>
      <c r="L49">
        <v>0</v>
      </c>
      <c r="M49">
        <v>0</v>
      </c>
      <c r="N49">
        <v>0</v>
      </c>
      <c r="O49">
        <v>0</v>
      </c>
      <c r="Q49">
        <v>80.8</v>
      </c>
    </row>
    <row r="50" spans="1:17">
      <c r="A50" t="s">
        <v>96</v>
      </c>
      <c r="B50" s="8">
        <v>45665</v>
      </c>
      <c r="C50" t="s">
        <v>1</v>
      </c>
      <c r="D50" t="s">
        <v>34</v>
      </c>
      <c r="E50" t="s">
        <v>40</v>
      </c>
      <c r="F50" t="s">
        <v>57</v>
      </c>
      <c r="G50" t="s">
        <v>42</v>
      </c>
      <c r="H50">
        <v>1</v>
      </c>
      <c r="I50">
        <v>1</v>
      </c>
      <c r="J50">
        <v>0</v>
      </c>
      <c r="K50">
        <v>0</v>
      </c>
      <c r="L50">
        <v>0</v>
      </c>
      <c r="M50">
        <v>0</v>
      </c>
      <c r="N50">
        <v>0</v>
      </c>
      <c r="O50">
        <v>0</v>
      </c>
      <c r="Q50">
        <v>42.9</v>
      </c>
    </row>
    <row r="51" spans="1:17">
      <c r="A51" t="s">
        <v>97</v>
      </c>
      <c r="B51" s="8">
        <v>45663</v>
      </c>
      <c r="C51" t="s">
        <v>1</v>
      </c>
      <c r="D51" t="s">
        <v>39</v>
      </c>
      <c r="E51" t="s">
        <v>35</v>
      </c>
      <c r="F51" t="s">
        <v>45</v>
      </c>
      <c r="G51" t="s">
        <v>42</v>
      </c>
      <c r="H51">
        <v>1</v>
      </c>
      <c r="I51">
        <v>0</v>
      </c>
      <c r="J51">
        <v>0</v>
      </c>
      <c r="K51">
        <v>0</v>
      </c>
      <c r="L51">
        <v>0</v>
      </c>
      <c r="M51">
        <v>0</v>
      </c>
      <c r="N51">
        <v>0</v>
      </c>
      <c r="O51">
        <v>0</v>
      </c>
      <c r="Q51">
        <v>52.7</v>
      </c>
    </row>
    <row r="52" spans="1:17">
      <c r="A52" t="s">
        <v>98</v>
      </c>
      <c r="B52" s="8">
        <v>45669</v>
      </c>
      <c r="C52" t="s">
        <v>1</v>
      </c>
      <c r="D52" t="s">
        <v>34</v>
      </c>
      <c r="E52" t="s">
        <v>40</v>
      </c>
      <c r="F52" t="s">
        <v>57</v>
      </c>
      <c r="G52" t="s">
        <v>37</v>
      </c>
      <c r="H52">
        <v>0</v>
      </c>
      <c r="I52">
        <v>0</v>
      </c>
      <c r="J52">
        <v>0</v>
      </c>
      <c r="K52">
        <v>0</v>
      </c>
      <c r="L52">
        <v>0</v>
      </c>
      <c r="M52">
        <v>0</v>
      </c>
      <c r="N52">
        <v>0</v>
      </c>
      <c r="O52">
        <v>0</v>
      </c>
      <c r="Q52">
        <v>46.9</v>
      </c>
    </row>
    <row r="53" spans="1:17">
      <c r="A53" t="s">
        <v>99</v>
      </c>
      <c r="B53" s="8">
        <v>45702</v>
      </c>
      <c r="C53" t="s">
        <v>1</v>
      </c>
      <c r="D53" t="s">
        <v>44</v>
      </c>
      <c r="E53" t="s">
        <v>35</v>
      </c>
      <c r="F53" t="s">
        <v>36</v>
      </c>
      <c r="G53" t="s">
        <v>46</v>
      </c>
      <c r="H53">
        <v>1</v>
      </c>
      <c r="I53">
        <v>0</v>
      </c>
      <c r="J53">
        <v>0</v>
      </c>
      <c r="K53">
        <v>0</v>
      </c>
      <c r="L53">
        <v>0</v>
      </c>
      <c r="M53">
        <v>0</v>
      </c>
      <c r="N53">
        <v>0</v>
      </c>
      <c r="O53">
        <v>0</v>
      </c>
      <c r="Q53">
        <v>63</v>
      </c>
    </row>
    <row r="54" spans="1:17">
      <c r="A54" t="s">
        <v>100</v>
      </c>
      <c r="B54" s="8">
        <v>45726</v>
      </c>
      <c r="C54" t="s">
        <v>1</v>
      </c>
      <c r="D54" t="s">
        <v>48</v>
      </c>
      <c r="E54" t="s">
        <v>50</v>
      </c>
      <c r="F54" t="s">
        <v>41</v>
      </c>
      <c r="G54" t="s">
        <v>42</v>
      </c>
      <c r="H54">
        <v>0</v>
      </c>
      <c r="I54">
        <v>0</v>
      </c>
      <c r="J54">
        <v>0</v>
      </c>
      <c r="K54">
        <v>0</v>
      </c>
      <c r="L54">
        <v>0</v>
      </c>
      <c r="M54">
        <v>0</v>
      </c>
      <c r="N54">
        <v>0</v>
      </c>
      <c r="O54">
        <v>0</v>
      </c>
      <c r="Q54">
        <v>53.6</v>
      </c>
    </row>
    <row r="55" spans="1:17">
      <c r="A55" t="s">
        <v>101</v>
      </c>
      <c r="B55" s="8">
        <v>45767</v>
      </c>
      <c r="C55" t="s">
        <v>1</v>
      </c>
      <c r="D55" t="s">
        <v>39</v>
      </c>
      <c r="E55" t="s">
        <v>35</v>
      </c>
      <c r="F55" t="s">
        <v>41</v>
      </c>
      <c r="G55" t="s">
        <v>37</v>
      </c>
      <c r="H55">
        <v>0</v>
      </c>
      <c r="I55">
        <v>0</v>
      </c>
      <c r="J55">
        <v>0</v>
      </c>
      <c r="K55">
        <v>0</v>
      </c>
      <c r="L55">
        <v>0</v>
      </c>
      <c r="M55">
        <v>0</v>
      </c>
      <c r="N55">
        <v>0</v>
      </c>
      <c r="O55">
        <v>0</v>
      </c>
      <c r="Q55">
        <v>49.6</v>
      </c>
    </row>
    <row r="56" spans="1:17">
      <c r="A56" t="s">
        <v>102</v>
      </c>
      <c r="B56" s="8">
        <v>45707</v>
      </c>
      <c r="C56" t="s">
        <v>1</v>
      </c>
      <c r="D56" t="s">
        <v>48</v>
      </c>
      <c r="E56" t="s">
        <v>40</v>
      </c>
      <c r="F56" t="s">
        <v>41</v>
      </c>
      <c r="G56" t="s">
        <v>42</v>
      </c>
      <c r="H56">
        <v>0</v>
      </c>
      <c r="I56">
        <v>0</v>
      </c>
      <c r="J56">
        <v>0</v>
      </c>
      <c r="K56">
        <v>0</v>
      </c>
      <c r="L56">
        <v>0</v>
      </c>
      <c r="M56">
        <v>0</v>
      </c>
      <c r="N56">
        <v>0</v>
      </c>
      <c r="O56">
        <v>0</v>
      </c>
      <c r="Q56">
        <v>54</v>
      </c>
    </row>
    <row r="57" spans="1:17">
      <c r="A57" t="s">
        <v>103</v>
      </c>
      <c r="B57" s="8">
        <v>45794</v>
      </c>
      <c r="C57" t="s">
        <v>1</v>
      </c>
      <c r="D57" t="s">
        <v>48</v>
      </c>
      <c r="E57" t="s">
        <v>40</v>
      </c>
      <c r="F57" t="s">
        <v>57</v>
      </c>
      <c r="G57" t="s">
        <v>37</v>
      </c>
      <c r="H57">
        <v>1</v>
      </c>
      <c r="I57">
        <v>0</v>
      </c>
      <c r="J57">
        <v>0</v>
      </c>
      <c r="K57">
        <v>0</v>
      </c>
      <c r="L57">
        <v>0</v>
      </c>
      <c r="M57">
        <v>2</v>
      </c>
      <c r="N57">
        <v>1</v>
      </c>
      <c r="O57">
        <v>0</v>
      </c>
      <c r="Q57">
        <v>50</v>
      </c>
    </row>
    <row r="58" spans="1:17">
      <c r="A58" t="s">
        <v>104</v>
      </c>
      <c r="B58" s="8">
        <v>45748</v>
      </c>
      <c r="C58" t="s">
        <v>1</v>
      </c>
      <c r="D58" t="s">
        <v>44</v>
      </c>
      <c r="E58" t="s">
        <v>40</v>
      </c>
      <c r="F58" t="s">
        <v>57</v>
      </c>
      <c r="G58" t="s">
        <v>37</v>
      </c>
      <c r="H58">
        <v>0</v>
      </c>
      <c r="I58">
        <v>0</v>
      </c>
      <c r="J58">
        <v>0</v>
      </c>
      <c r="K58">
        <v>0</v>
      </c>
      <c r="L58">
        <v>0</v>
      </c>
      <c r="M58">
        <v>0</v>
      </c>
      <c r="N58">
        <v>0</v>
      </c>
      <c r="O58">
        <v>0</v>
      </c>
      <c r="Q58">
        <v>48.1</v>
      </c>
    </row>
    <row r="59" spans="1:17">
      <c r="A59" t="s">
        <v>105</v>
      </c>
      <c r="B59" s="8">
        <v>45692</v>
      </c>
      <c r="C59" t="s">
        <v>1</v>
      </c>
      <c r="D59" t="s">
        <v>34</v>
      </c>
      <c r="E59" t="s">
        <v>35</v>
      </c>
      <c r="F59" t="s">
        <v>41</v>
      </c>
      <c r="G59" t="s">
        <v>42</v>
      </c>
      <c r="H59">
        <v>1</v>
      </c>
      <c r="I59">
        <v>0</v>
      </c>
      <c r="J59">
        <v>0</v>
      </c>
      <c r="K59">
        <v>0</v>
      </c>
      <c r="L59">
        <v>0</v>
      </c>
      <c r="M59">
        <v>0</v>
      </c>
      <c r="N59">
        <v>0</v>
      </c>
      <c r="O59">
        <v>0</v>
      </c>
      <c r="Q59">
        <v>49.6</v>
      </c>
    </row>
    <row r="60" spans="1:17">
      <c r="A60" t="s">
        <v>106</v>
      </c>
      <c r="B60" s="8">
        <v>45761</v>
      </c>
      <c r="C60" t="s">
        <v>1</v>
      </c>
      <c r="D60" t="s">
        <v>34</v>
      </c>
      <c r="E60" t="s">
        <v>40</v>
      </c>
      <c r="F60" t="s">
        <v>57</v>
      </c>
      <c r="G60" t="s">
        <v>42</v>
      </c>
      <c r="H60">
        <v>0</v>
      </c>
      <c r="I60">
        <v>0</v>
      </c>
      <c r="J60">
        <v>0</v>
      </c>
      <c r="K60">
        <v>0</v>
      </c>
      <c r="L60">
        <v>0</v>
      </c>
      <c r="M60">
        <v>2</v>
      </c>
      <c r="N60">
        <v>1</v>
      </c>
      <c r="O60">
        <v>0</v>
      </c>
      <c r="Q60">
        <v>48.9</v>
      </c>
    </row>
    <row r="61" spans="1:17">
      <c r="A61" t="s">
        <v>107</v>
      </c>
      <c r="B61" s="8">
        <v>45658</v>
      </c>
      <c r="C61" t="s">
        <v>1</v>
      </c>
      <c r="D61" t="s">
        <v>39</v>
      </c>
      <c r="E61" t="s">
        <v>40</v>
      </c>
      <c r="F61" t="s">
        <v>57</v>
      </c>
      <c r="G61" t="s">
        <v>42</v>
      </c>
      <c r="H61">
        <v>1</v>
      </c>
      <c r="I61">
        <v>1</v>
      </c>
      <c r="J61">
        <v>1</v>
      </c>
      <c r="K61">
        <v>1</v>
      </c>
      <c r="L61">
        <v>240.42</v>
      </c>
      <c r="M61">
        <v>0</v>
      </c>
      <c r="N61">
        <v>0</v>
      </c>
      <c r="O61">
        <v>0</v>
      </c>
      <c r="P61">
        <v>16</v>
      </c>
      <c r="Q61">
        <v>56.5</v>
      </c>
    </row>
    <row r="62" spans="1:17">
      <c r="A62" t="s">
        <v>108</v>
      </c>
      <c r="B62" s="8">
        <v>45749</v>
      </c>
      <c r="C62" t="s">
        <v>1</v>
      </c>
      <c r="D62" t="s">
        <v>48</v>
      </c>
      <c r="E62" t="s">
        <v>40</v>
      </c>
      <c r="F62" t="s">
        <v>55</v>
      </c>
      <c r="G62" t="s">
        <v>42</v>
      </c>
      <c r="H62">
        <v>1</v>
      </c>
      <c r="I62">
        <v>0</v>
      </c>
      <c r="J62">
        <v>0</v>
      </c>
      <c r="K62">
        <v>0</v>
      </c>
      <c r="L62">
        <v>0</v>
      </c>
      <c r="M62">
        <v>0</v>
      </c>
      <c r="N62">
        <v>0</v>
      </c>
      <c r="O62">
        <v>0</v>
      </c>
      <c r="Q62">
        <v>53.7</v>
      </c>
    </row>
    <row r="63" spans="1:17">
      <c r="A63" t="s">
        <v>109</v>
      </c>
      <c r="B63" s="8">
        <v>45745</v>
      </c>
      <c r="C63" t="s">
        <v>1</v>
      </c>
      <c r="D63" t="s">
        <v>34</v>
      </c>
      <c r="E63" t="s">
        <v>40</v>
      </c>
      <c r="F63" t="s">
        <v>57</v>
      </c>
      <c r="G63" t="s">
        <v>46</v>
      </c>
      <c r="H63">
        <v>0</v>
      </c>
      <c r="I63">
        <v>0</v>
      </c>
      <c r="J63">
        <v>0</v>
      </c>
      <c r="K63">
        <v>0</v>
      </c>
      <c r="L63">
        <v>0</v>
      </c>
      <c r="M63">
        <v>0</v>
      </c>
      <c r="N63">
        <v>0</v>
      </c>
      <c r="O63">
        <v>0</v>
      </c>
      <c r="Q63">
        <v>62.2</v>
      </c>
    </row>
    <row r="64" spans="1:17">
      <c r="A64" t="s">
        <v>110</v>
      </c>
      <c r="B64" s="8">
        <v>45792</v>
      </c>
      <c r="C64" t="s">
        <v>1</v>
      </c>
      <c r="D64" t="s">
        <v>48</v>
      </c>
      <c r="E64" t="s">
        <v>35</v>
      </c>
      <c r="F64" t="s">
        <v>41</v>
      </c>
      <c r="G64" t="s">
        <v>42</v>
      </c>
      <c r="H64">
        <v>1</v>
      </c>
      <c r="I64">
        <v>0</v>
      </c>
      <c r="J64">
        <v>0</v>
      </c>
      <c r="K64">
        <v>0</v>
      </c>
      <c r="L64">
        <v>0</v>
      </c>
      <c r="M64">
        <v>0</v>
      </c>
      <c r="N64">
        <v>0</v>
      </c>
      <c r="O64">
        <v>0</v>
      </c>
      <c r="Q64">
        <v>50.2</v>
      </c>
    </row>
    <row r="65" spans="1:17">
      <c r="A65" t="s">
        <v>111</v>
      </c>
      <c r="B65" s="8">
        <v>45758</v>
      </c>
      <c r="C65" t="s">
        <v>1</v>
      </c>
      <c r="D65" t="s">
        <v>34</v>
      </c>
      <c r="E65" t="s">
        <v>40</v>
      </c>
      <c r="F65" t="s">
        <v>41</v>
      </c>
      <c r="G65" t="s">
        <v>37</v>
      </c>
      <c r="H65">
        <v>1</v>
      </c>
      <c r="I65">
        <v>0</v>
      </c>
      <c r="J65">
        <v>0</v>
      </c>
      <c r="K65">
        <v>0</v>
      </c>
      <c r="L65">
        <v>0</v>
      </c>
      <c r="M65">
        <v>0</v>
      </c>
      <c r="N65">
        <v>0</v>
      </c>
      <c r="O65">
        <v>0</v>
      </c>
      <c r="Q65">
        <v>74.3</v>
      </c>
    </row>
    <row r="66" spans="1:17">
      <c r="A66" t="s">
        <v>112</v>
      </c>
      <c r="B66" s="8">
        <v>45723</v>
      </c>
      <c r="C66" t="s">
        <v>1</v>
      </c>
      <c r="D66" t="s">
        <v>48</v>
      </c>
      <c r="E66" t="s">
        <v>35</v>
      </c>
      <c r="F66" t="s">
        <v>45</v>
      </c>
      <c r="G66" t="s">
        <v>42</v>
      </c>
      <c r="H66">
        <v>1</v>
      </c>
      <c r="I66">
        <v>0</v>
      </c>
      <c r="J66">
        <v>0</v>
      </c>
      <c r="K66">
        <v>0</v>
      </c>
      <c r="L66">
        <v>0</v>
      </c>
      <c r="M66">
        <v>0</v>
      </c>
      <c r="N66">
        <v>0</v>
      </c>
      <c r="O66">
        <v>0</v>
      </c>
      <c r="Q66">
        <v>58</v>
      </c>
    </row>
    <row r="67" spans="1:17">
      <c r="A67" t="s">
        <v>113</v>
      </c>
      <c r="B67" s="8">
        <v>45807</v>
      </c>
      <c r="C67" t="s">
        <v>1</v>
      </c>
      <c r="D67" t="s">
        <v>48</v>
      </c>
      <c r="E67" t="s">
        <v>40</v>
      </c>
      <c r="F67" t="s">
        <v>41</v>
      </c>
      <c r="G67" t="s">
        <v>42</v>
      </c>
      <c r="H67">
        <v>0</v>
      </c>
      <c r="I67">
        <v>0</v>
      </c>
      <c r="J67">
        <v>0</v>
      </c>
      <c r="K67">
        <v>0</v>
      </c>
      <c r="L67">
        <v>0</v>
      </c>
      <c r="M67">
        <v>0</v>
      </c>
      <c r="N67">
        <v>0</v>
      </c>
      <c r="O67">
        <v>0</v>
      </c>
      <c r="Q67">
        <v>46.7</v>
      </c>
    </row>
    <row r="68" spans="1:17">
      <c r="A68" t="s">
        <v>114</v>
      </c>
      <c r="B68" s="8">
        <v>45664</v>
      </c>
      <c r="C68" t="s">
        <v>1</v>
      </c>
      <c r="D68" t="s">
        <v>48</v>
      </c>
      <c r="E68" t="s">
        <v>35</v>
      </c>
      <c r="F68" t="s">
        <v>41</v>
      </c>
      <c r="G68" t="s">
        <v>46</v>
      </c>
      <c r="H68">
        <v>1</v>
      </c>
      <c r="I68">
        <v>0</v>
      </c>
      <c r="J68">
        <v>0</v>
      </c>
      <c r="K68">
        <v>0</v>
      </c>
      <c r="L68">
        <v>0</v>
      </c>
      <c r="M68">
        <v>1</v>
      </c>
      <c r="N68">
        <v>1</v>
      </c>
      <c r="O68">
        <v>0</v>
      </c>
      <c r="Q68">
        <v>49.6</v>
      </c>
    </row>
    <row r="69" spans="1:17">
      <c r="A69" t="s">
        <v>115</v>
      </c>
      <c r="B69" s="8">
        <v>45785</v>
      </c>
      <c r="C69" t="s">
        <v>1</v>
      </c>
      <c r="D69" t="s">
        <v>39</v>
      </c>
      <c r="E69" t="s">
        <v>40</v>
      </c>
      <c r="F69" t="s">
        <v>57</v>
      </c>
      <c r="G69" t="s">
        <v>42</v>
      </c>
      <c r="H69">
        <v>0</v>
      </c>
      <c r="I69">
        <v>0</v>
      </c>
      <c r="J69">
        <v>0</v>
      </c>
      <c r="K69">
        <v>0</v>
      </c>
      <c r="L69">
        <v>0</v>
      </c>
      <c r="M69">
        <v>0</v>
      </c>
      <c r="N69">
        <v>0</v>
      </c>
      <c r="O69">
        <v>0</v>
      </c>
      <c r="Q69">
        <v>60.4</v>
      </c>
    </row>
    <row r="70" spans="1:17">
      <c r="A70" t="s">
        <v>116</v>
      </c>
      <c r="B70" s="8">
        <v>45735</v>
      </c>
      <c r="C70" t="s">
        <v>1</v>
      </c>
      <c r="D70" t="s">
        <v>44</v>
      </c>
      <c r="E70" t="s">
        <v>35</v>
      </c>
      <c r="F70" t="s">
        <v>36</v>
      </c>
      <c r="G70" t="s">
        <v>42</v>
      </c>
      <c r="H70">
        <v>1</v>
      </c>
      <c r="I70">
        <v>1</v>
      </c>
      <c r="J70">
        <v>1</v>
      </c>
      <c r="K70">
        <v>0</v>
      </c>
      <c r="L70">
        <v>0</v>
      </c>
      <c r="M70">
        <v>0</v>
      </c>
      <c r="N70">
        <v>0</v>
      </c>
      <c r="O70">
        <v>0</v>
      </c>
      <c r="Q70">
        <v>55.3</v>
      </c>
    </row>
    <row r="71" spans="1:17">
      <c r="A71" t="s">
        <v>117</v>
      </c>
      <c r="B71" s="8">
        <v>45793</v>
      </c>
      <c r="C71" t="s">
        <v>1</v>
      </c>
      <c r="D71" t="s">
        <v>34</v>
      </c>
      <c r="E71" t="s">
        <v>35</v>
      </c>
      <c r="F71" t="s">
        <v>41</v>
      </c>
      <c r="G71" t="s">
        <v>42</v>
      </c>
      <c r="H71">
        <v>0</v>
      </c>
      <c r="I71">
        <v>0</v>
      </c>
      <c r="J71">
        <v>0</v>
      </c>
      <c r="K71">
        <v>0</v>
      </c>
      <c r="L71">
        <v>0</v>
      </c>
      <c r="M71">
        <v>0</v>
      </c>
      <c r="N71">
        <v>0</v>
      </c>
      <c r="O71">
        <v>0</v>
      </c>
      <c r="Q71">
        <v>56.2</v>
      </c>
    </row>
    <row r="72" spans="1:17">
      <c r="A72" t="s">
        <v>118</v>
      </c>
      <c r="B72" s="8">
        <v>45724</v>
      </c>
      <c r="C72" t="s">
        <v>1</v>
      </c>
      <c r="D72" t="s">
        <v>39</v>
      </c>
      <c r="E72" t="s">
        <v>40</v>
      </c>
      <c r="F72" t="s">
        <v>36</v>
      </c>
      <c r="G72" t="s">
        <v>42</v>
      </c>
      <c r="H72">
        <v>0</v>
      </c>
      <c r="I72">
        <v>0</v>
      </c>
      <c r="J72">
        <v>0</v>
      </c>
      <c r="K72">
        <v>0</v>
      </c>
      <c r="L72">
        <v>0</v>
      </c>
      <c r="M72">
        <v>0</v>
      </c>
      <c r="N72">
        <v>0</v>
      </c>
      <c r="O72">
        <v>0</v>
      </c>
      <c r="Q72">
        <v>29.4</v>
      </c>
    </row>
    <row r="73" spans="1:17">
      <c r="A73" t="s">
        <v>119</v>
      </c>
      <c r="B73" s="8">
        <v>45724</v>
      </c>
      <c r="C73" t="s">
        <v>1</v>
      </c>
      <c r="D73" t="s">
        <v>44</v>
      </c>
      <c r="E73" t="s">
        <v>40</v>
      </c>
      <c r="F73" t="s">
        <v>36</v>
      </c>
      <c r="G73" t="s">
        <v>42</v>
      </c>
      <c r="H73">
        <v>1</v>
      </c>
      <c r="I73">
        <v>0</v>
      </c>
      <c r="J73">
        <v>0</v>
      </c>
      <c r="K73">
        <v>0</v>
      </c>
      <c r="L73">
        <v>0</v>
      </c>
      <c r="M73">
        <v>0</v>
      </c>
      <c r="N73">
        <v>0</v>
      </c>
      <c r="O73">
        <v>0</v>
      </c>
      <c r="Q73">
        <v>54.2</v>
      </c>
    </row>
    <row r="74" spans="1:17">
      <c r="A74" t="s">
        <v>120</v>
      </c>
      <c r="B74" s="8">
        <v>45671</v>
      </c>
      <c r="C74" t="s">
        <v>1</v>
      </c>
      <c r="D74" t="s">
        <v>44</v>
      </c>
      <c r="E74" t="s">
        <v>35</v>
      </c>
      <c r="F74" t="s">
        <v>45</v>
      </c>
      <c r="G74" t="s">
        <v>37</v>
      </c>
      <c r="H74">
        <v>0</v>
      </c>
      <c r="I74">
        <v>0</v>
      </c>
      <c r="J74">
        <v>0</v>
      </c>
      <c r="K74">
        <v>0</v>
      </c>
      <c r="L74">
        <v>0</v>
      </c>
      <c r="M74">
        <v>0</v>
      </c>
      <c r="N74">
        <v>0</v>
      </c>
      <c r="O74">
        <v>0</v>
      </c>
      <c r="Q74">
        <v>46.4</v>
      </c>
    </row>
    <row r="75" spans="1:17">
      <c r="A75" t="s">
        <v>121</v>
      </c>
      <c r="B75" s="8">
        <v>45698</v>
      </c>
      <c r="C75" t="s">
        <v>1</v>
      </c>
      <c r="D75" t="s">
        <v>48</v>
      </c>
      <c r="E75" t="s">
        <v>40</v>
      </c>
      <c r="F75" t="s">
        <v>45</v>
      </c>
      <c r="G75" t="s">
        <v>37</v>
      </c>
      <c r="H75">
        <v>0</v>
      </c>
      <c r="I75">
        <v>0</v>
      </c>
      <c r="J75">
        <v>0</v>
      </c>
      <c r="K75">
        <v>0</v>
      </c>
      <c r="L75">
        <v>0</v>
      </c>
      <c r="M75">
        <v>0</v>
      </c>
      <c r="N75">
        <v>0</v>
      </c>
      <c r="O75">
        <v>0</v>
      </c>
      <c r="Q75">
        <v>54.5</v>
      </c>
    </row>
    <row r="76" spans="1:17">
      <c r="A76" t="s">
        <v>122</v>
      </c>
      <c r="B76" s="8">
        <v>45733</v>
      </c>
      <c r="C76" t="s">
        <v>1</v>
      </c>
      <c r="D76" t="s">
        <v>34</v>
      </c>
      <c r="E76" t="s">
        <v>40</v>
      </c>
      <c r="F76" t="s">
        <v>41</v>
      </c>
      <c r="G76" t="s">
        <v>42</v>
      </c>
      <c r="H76">
        <v>0</v>
      </c>
      <c r="I76">
        <v>0</v>
      </c>
      <c r="J76">
        <v>0</v>
      </c>
      <c r="K76">
        <v>0</v>
      </c>
      <c r="L76">
        <v>0</v>
      </c>
      <c r="M76">
        <v>0</v>
      </c>
      <c r="N76">
        <v>0</v>
      </c>
      <c r="O76">
        <v>0</v>
      </c>
      <c r="Q76">
        <v>58.5</v>
      </c>
    </row>
    <row r="77" spans="1:17">
      <c r="A77" t="s">
        <v>123</v>
      </c>
      <c r="B77" s="8">
        <v>45666</v>
      </c>
      <c r="C77" t="s">
        <v>1</v>
      </c>
      <c r="D77" t="s">
        <v>48</v>
      </c>
      <c r="E77" t="s">
        <v>40</v>
      </c>
      <c r="F77" t="s">
        <v>36</v>
      </c>
      <c r="G77" t="s">
        <v>42</v>
      </c>
      <c r="H77">
        <v>0</v>
      </c>
      <c r="I77">
        <v>0</v>
      </c>
      <c r="J77">
        <v>0</v>
      </c>
      <c r="K77">
        <v>0</v>
      </c>
      <c r="L77">
        <v>0</v>
      </c>
      <c r="M77">
        <v>0</v>
      </c>
      <c r="N77">
        <v>0</v>
      </c>
      <c r="O77">
        <v>0</v>
      </c>
      <c r="Q77">
        <v>75.900000000000006</v>
      </c>
    </row>
    <row r="78" spans="1:17">
      <c r="A78" t="s">
        <v>124</v>
      </c>
      <c r="B78" s="8">
        <v>45764</v>
      </c>
      <c r="C78" t="s">
        <v>1</v>
      </c>
      <c r="D78" t="s">
        <v>34</v>
      </c>
      <c r="E78" t="s">
        <v>40</v>
      </c>
      <c r="F78" t="s">
        <v>55</v>
      </c>
      <c r="G78" t="s">
        <v>42</v>
      </c>
      <c r="H78">
        <v>0</v>
      </c>
      <c r="I78">
        <v>0</v>
      </c>
      <c r="J78">
        <v>0</v>
      </c>
      <c r="K78">
        <v>0</v>
      </c>
      <c r="L78">
        <v>0</v>
      </c>
      <c r="M78">
        <v>1</v>
      </c>
      <c r="N78">
        <v>1</v>
      </c>
      <c r="O78">
        <v>0</v>
      </c>
      <c r="Q78">
        <v>84.9</v>
      </c>
    </row>
    <row r="79" spans="1:17">
      <c r="A79" t="s">
        <v>125</v>
      </c>
      <c r="B79" s="8">
        <v>45673</v>
      </c>
      <c r="C79" t="s">
        <v>1</v>
      </c>
      <c r="D79" t="s">
        <v>34</v>
      </c>
      <c r="E79" t="s">
        <v>40</v>
      </c>
      <c r="F79" t="s">
        <v>41</v>
      </c>
      <c r="G79" t="s">
        <v>42</v>
      </c>
      <c r="H79">
        <v>0</v>
      </c>
      <c r="I79">
        <v>0</v>
      </c>
      <c r="J79">
        <v>0</v>
      </c>
      <c r="K79">
        <v>0</v>
      </c>
      <c r="L79">
        <v>0</v>
      </c>
      <c r="M79">
        <v>2</v>
      </c>
      <c r="N79">
        <v>1</v>
      </c>
      <c r="O79">
        <v>0</v>
      </c>
      <c r="Q79">
        <v>48.4</v>
      </c>
    </row>
    <row r="80" spans="1:17">
      <c r="A80" t="s">
        <v>126</v>
      </c>
      <c r="B80" s="8">
        <v>45708</v>
      </c>
      <c r="C80" t="s">
        <v>1</v>
      </c>
      <c r="D80" t="s">
        <v>39</v>
      </c>
      <c r="E80" t="s">
        <v>35</v>
      </c>
      <c r="F80" t="s">
        <v>41</v>
      </c>
      <c r="G80" t="s">
        <v>42</v>
      </c>
      <c r="H80">
        <v>1</v>
      </c>
      <c r="I80">
        <v>1</v>
      </c>
      <c r="J80">
        <v>1</v>
      </c>
      <c r="K80">
        <v>1</v>
      </c>
      <c r="L80">
        <v>457.51</v>
      </c>
      <c r="M80">
        <v>0</v>
      </c>
      <c r="N80">
        <v>0</v>
      </c>
      <c r="O80">
        <v>0</v>
      </c>
      <c r="P80">
        <v>7</v>
      </c>
      <c r="Q80">
        <v>38</v>
      </c>
    </row>
    <row r="81" spans="1:17">
      <c r="A81" t="s">
        <v>127</v>
      </c>
      <c r="B81" s="8">
        <v>45798</v>
      </c>
      <c r="C81" t="s">
        <v>1</v>
      </c>
      <c r="D81" t="s">
        <v>44</v>
      </c>
      <c r="E81" t="s">
        <v>40</v>
      </c>
      <c r="F81" t="s">
        <v>57</v>
      </c>
      <c r="G81" t="s">
        <v>42</v>
      </c>
      <c r="H81">
        <v>1</v>
      </c>
      <c r="I81">
        <v>0</v>
      </c>
      <c r="J81">
        <v>0</v>
      </c>
      <c r="K81">
        <v>0</v>
      </c>
      <c r="L81">
        <v>0</v>
      </c>
      <c r="M81">
        <v>0</v>
      </c>
      <c r="N81">
        <v>0</v>
      </c>
      <c r="O81">
        <v>0</v>
      </c>
      <c r="Q81">
        <v>44.2</v>
      </c>
    </row>
    <row r="82" spans="1:17">
      <c r="A82" t="s">
        <v>128</v>
      </c>
      <c r="B82" s="8">
        <v>45785</v>
      </c>
      <c r="C82" t="s">
        <v>1</v>
      </c>
      <c r="D82" t="s">
        <v>48</v>
      </c>
      <c r="E82" t="s">
        <v>40</v>
      </c>
      <c r="F82" t="s">
        <v>41</v>
      </c>
      <c r="G82" t="s">
        <v>42</v>
      </c>
      <c r="H82">
        <v>1</v>
      </c>
      <c r="I82">
        <v>1</v>
      </c>
      <c r="J82">
        <v>1</v>
      </c>
      <c r="K82">
        <v>0</v>
      </c>
      <c r="L82">
        <v>0</v>
      </c>
      <c r="M82">
        <v>0</v>
      </c>
      <c r="N82">
        <v>0</v>
      </c>
      <c r="O82">
        <v>0</v>
      </c>
      <c r="Q82">
        <v>81.2</v>
      </c>
    </row>
    <row r="83" spans="1:17">
      <c r="A83" t="s">
        <v>129</v>
      </c>
      <c r="B83" s="8">
        <v>45724</v>
      </c>
      <c r="C83" t="s">
        <v>1</v>
      </c>
      <c r="D83" t="s">
        <v>48</v>
      </c>
      <c r="E83" t="s">
        <v>40</v>
      </c>
      <c r="F83" t="s">
        <v>55</v>
      </c>
      <c r="G83" t="s">
        <v>42</v>
      </c>
      <c r="H83">
        <v>1</v>
      </c>
      <c r="I83">
        <v>1</v>
      </c>
      <c r="J83">
        <v>0</v>
      </c>
      <c r="K83">
        <v>0</v>
      </c>
      <c r="L83">
        <v>0</v>
      </c>
      <c r="M83">
        <v>0</v>
      </c>
      <c r="N83">
        <v>0</v>
      </c>
      <c r="O83">
        <v>0</v>
      </c>
      <c r="Q83">
        <v>63.8</v>
      </c>
    </row>
    <row r="84" spans="1:17">
      <c r="A84" t="s">
        <v>130</v>
      </c>
      <c r="B84" s="8">
        <v>45748</v>
      </c>
      <c r="C84" t="s">
        <v>1</v>
      </c>
      <c r="D84" t="s">
        <v>48</v>
      </c>
      <c r="E84" t="s">
        <v>35</v>
      </c>
      <c r="F84" t="s">
        <v>36</v>
      </c>
      <c r="G84" t="s">
        <v>42</v>
      </c>
      <c r="H84">
        <v>0</v>
      </c>
      <c r="I84">
        <v>0</v>
      </c>
      <c r="J84">
        <v>0</v>
      </c>
      <c r="K84">
        <v>0</v>
      </c>
      <c r="L84">
        <v>0</v>
      </c>
      <c r="M84">
        <v>0</v>
      </c>
      <c r="N84">
        <v>0</v>
      </c>
      <c r="O84">
        <v>0</v>
      </c>
      <c r="Q84">
        <v>64.7</v>
      </c>
    </row>
    <row r="85" spans="1:17">
      <c r="A85" t="s">
        <v>131</v>
      </c>
      <c r="B85" s="8">
        <v>45719</v>
      </c>
      <c r="C85" t="s">
        <v>1</v>
      </c>
      <c r="D85" t="s">
        <v>39</v>
      </c>
      <c r="E85" t="s">
        <v>40</v>
      </c>
      <c r="F85" t="s">
        <v>57</v>
      </c>
      <c r="G85" t="s">
        <v>37</v>
      </c>
      <c r="H85">
        <v>0</v>
      </c>
      <c r="I85">
        <v>0</v>
      </c>
      <c r="J85">
        <v>0</v>
      </c>
      <c r="K85">
        <v>0</v>
      </c>
      <c r="L85">
        <v>0</v>
      </c>
      <c r="M85">
        <v>0</v>
      </c>
      <c r="N85">
        <v>0</v>
      </c>
      <c r="O85">
        <v>0</v>
      </c>
      <c r="Q85">
        <v>60.4</v>
      </c>
    </row>
    <row r="86" spans="1:17">
      <c r="A86" t="s">
        <v>132</v>
      </c>
      <c r="B86" s="8">
        <v>45763</v>
      </c>
      <c r="C86" t="s">
        <v>1</v>
      </c>
      <c r="D86" t="s">
        <v>48</v>
      </c>
      <c r="E86" t="s">
        <v>40</v>
      </c>
      <c r="F86" t="s">
        <v>45</v>
      </c>
      <c r="G86" t="s">
        <v>42</v>
      </c>
      <c r="H86">
        <v>0</v>
      </c>
      <c r="I86">
        <v>0</v>
      </c>
      <c r="J86">
        <v>0</v>
      </c>
      <c r="K86">
        <v>0</v>
      </c>
      <c r="L86">
        <v>0</v>
      </c>
      <c r="M86">
        <v>0</v>
      </c>
      <c r="N86">
        <v>0</v>
      </c>
      <c r="O86">
        <v>0</v>
      </c>
      <c r="Q86">
        <v>66.599999999999994</v>
      </c>
    </row>
    <row r="87" spans="1:17">
      <c r="A87" t="s">
        <v>133</v>
      </c>
      <c r="B87" s="8">
        <v>45666</v>
      </c>
      <c r="C87" t="s">
        <v>1</v>
      </c>
      <c r="D87" t="s">
        <v>34</v>
      </c>
      <c r="E87" t="s">
        <v>35</v>
      </c>
      <c r="F87" t="s">
        <v>41</v>
      </c>
      <c r="G87" t="s">
        <v>42</v>
      </c>
      <c r="H87">
        <v>1</v>
      </c>
      <c r="I87">
        <v>0</v>
      </c>
      <c r="J87">
        <v>0</v>
      </c>
      <c r="K87">
        <v>0</v>
      </c>
      <c r="L87">
        <v>0</v>
      </c>
      <c r="M87">
        <v>0</v>
      </c>
      <c r="N87">
        <v>0</v>
      </c>
      <c r="O87">
        <v>0</v>
      </c>
      <c r="Q87">
        <v>50.9</v>
      </c>
    </row>
    <row r="88" spans="1:17">
      <c r="A88" t="s">
        <v>134</v>
      </c>
      <c r="B88" s="8">
        <v>45679</v>
      </c>
      <c r="C88" t="s">
        <v>1</v>
      </c>
      <c r="D88" t="s">
        <v>39</v>
      </c>
      <c r="E88" t="s">
        <v>35</v>
      </c>
      <c r="F88" t="s">
        <v>57</v>
      </c>
      <c r="G88" t="s">
        <v>37</v>
      </c>
      <c r="H88">
        <v>0</v>
      </c>
      <c r="I88">
        <v>0</v>
      </c>
      <c r="J88">
        <v>0</v>
      </c>
      <c r="K88">
        <v>0</v>
      </c>
      <c r="L88">
        <v>0</v>
      </c>
      <c r="M88">
        <v>0</v>
      </c>
      <c r="N88">
        <v>0</v>
      </c>
      <c r="O88">
        <v>0</v>
      </c>
      <c r="Q88">
        <v>51</v>
      </c>
    </row>
    <row r="89" spans="1:17">
      <c r="A89" t="s">
        <v>135</v>
      </c>
      <c r="B89" s="8">
        <v>45777</v>
      </c>
      <c r="C89" t="s">
        <v>1</v>
      </c>
      <c r="D89" t="s">
        <v>48</v>
      </c>
      <c r="E89" t="s">
        <v>40</v>
      </c>
      <c r="F89" t="s">
        <v>36</v>
      </c>
      <c r="G89" t="s">
        <v>46</v>
      </c>
      <c r="H89">
        <v>0</v>
      </c>
      <c r="I89">
        <v>0</v>
      </c>
      <c r="J89">
        <v>0</v>
      </c>
      <c r="K89">
        <v>0</v>
      </c>
      <c r="L89">
        <v>0</v>
      </c>
      <c r="M89">
        <v>0</v>
      </c>
      <c r="N89">
        <v>0</v>
      </c>
      <c r="O89">
        <v>0</v>
      </c>
      <c r="Q89">
        <v>65.8</v>
      </c>
    </row>
    <row r="90" spans="1:17">
      <c r="A90" t="s">
        <v>136</v>
      </c>
      <c r="B90" s="8">
        <v>45772</v>
      </c>
      <c r="C90" t="s">
        <v>1</v>
      </c>
      <c r="D90" t="s">
        <v>34</v>
      </c>
      <c r="E90" t="s">
        <v>40</v>
      </c>
      <c r="F90" t="s">
        <v>55</v>
      </c>
      <c r="G90" t="s">
        <v>37</v>
      </c>
      <c r="H90">
        <v>1</v>
      </c>
      <c r="I90">
        <v>0</v>
      </c>
      <c r="J90">
        <v>0</v>
      </c>
      <c r="K90">
        <v>0</v>
      </c>
      <c r="L90">
        <v>0</v>
      </c>
      <c r="M90">
        <v>0</v>
      </c>
      <c r="N90">
        <v>0</v>
      </c>
      <c r="O90">
        <v>0</v>
      </c>
      <c r="Q90">
        <v>61.8</v>
      </c>
    </row>
    <row r="91" spans="1:17">
      <c r="A91" t="s">
        <v>137</v>
      </c>
      <c r="B91" s="8">
        <v>45689</v>
      </c>
      <c r="C91" t="s">
        <v>1</v>
      </c>
      <c r="D91" t="s">
        <v>34</v>
      </c>
      <c r="E91" t="s">
        <v>40</v>
      </c>
      <c r="F91" t="s">
        <v>41</v>
      </c>
      <c r="G91" t="s">
        <v>37</v>
      </c>
      <c r="H91">
        <v>1</v>
      </c>
      <c r="I91">
        <v>0</v>
      </c>
      <c r="J91">
        <v>0</v>
      </c>
      <c r="K91">
        <v>0</v>
      </c>
      <c r="L91">
        <v>0</v>
      </c>
      <c r="M91">
        <v>0</v>
      </c>
      <c r="N91">
        <v>0</v>
      </c>
      <c r="O91">
        <v>0</v>
      </c>
      <c r="Q91">
        <v>54.5</v>
      </c>
    </row>
    <row r="92" spans="1:17">
      <c r="A92" t="s">
        <v>138</v>
      </c>
      <c r="B92" s="8">
        <v>45770</v>
      </c>
      <c r="C92" t="s">
        <v>1</v>
      </c>
      <c r="D92" t="s">
        <v>48</v>
      </c>
      <c r="E92" t="s">
        <v>35</v>
      </c>
      <c r="F92" t="s">
        <v>41</v>
      </c>
      <c r="G92" t="s">
        <v>42</v>
      </c>
      <c r="H92">
        <v>1</v>
      </c>
      <c r="I92">
        <v>0</v>
      </c>
      <c r="J92">
        <v>0</v>
      </c>
      <c r="K92">
        <v>0</v>
      </c>
      <c r="L92">
        <v>0</v>
      </c>
      <c r="M92">
        <v>0</v>
      </c>
      <c r="N92">
        <v>0</v>
      </c>
      <c r="O92">
        <v>0</v>
      </c>
      <c r="Q92">
        <v>72.2</v>
      </c>
    </row>
    <row r="93" spans="1:17">
      <c r="A93" t="s">
        <v>139</v>
      </c>
      <c r="B93" s="8">
        <v>45715</v>
      </c>
      <c r="C93" t="s">
        <v>1</v>
      </c>
      <c r="D93" t="s">
        <v>48</v>
      </c>
      <c r="E93" t="s">
        <v>40</v>
      </c>
      <c r="F93" t="s">
        <v>57</v>
      </c>
      <c r="G93" t="s">
        <v>42</v>
      </c>
      <c r="H93">
        <v>1</v>
      </c>
      <c r="I93">
        <v>0</v>
      </c>
      <c r="J93">
        <v>0</v>
      </c>
      <c r="K93">
        <v>0</v>
      </c>
      <c r="L93">
        <v>0</v>
      </c>
      <c r="M93">
        <v>0</v>
      </c>
      <c r="N93">
        <v>0</v>
      </c>
      <c r="O93">
        <v>0</v>
      </c>
      <c r="Q93">
        <v>42.3</v>
      </c>
    </row>
    <row r="94" spans="1:17">
      <c r="A94" t="s">
        <v>140</v>
      </c>
      <c r="B94" s="8">
        <v>45756</v>
      </c>
      <c r="C94" t="s">
        <v>1</v>
      </c>
      <c r="D94" t="s">
        <v>44</v>
      </c>
      <c r="E94" t="s">
        <v>35</v>
      </c>
      <c r="F94" t="s">
        <v>41</v>
      </c>
      <c r="G94" t="s">
        <v>37</v>
      </c>
      <c r="H94">
        <v>1</v>
      </c>
      <c r="I94">
        <v>0</v>
      </c>
      <c r="J94">
        <v>0</v>
      </c>
      <c r="K94">
        <v>0</v>
      </c>
      <c r="L94">
        <v>0</v>
      </c>
      <c r="M94">
        <v>0</v>
      </c>
      <c r="N94">
        <v>0</v>
      </c>
      <c r="O94">
        <v>0</v>
      </c>
      <c r="Q94">
        <v>76.2</v>
      </c>
    </row>
    <row r="95" spans="1:17">
      <c r="A95" t="s">
        <v>141</v>
      </c>
      <c r="B95" s="8">
        <v>45790</v>
      </c>
      <c r="C95" t="s">
        <v>1</v>
      </c>
      <c r="D95" t="s">
        <v>48</v>
      </c>
      <c r="E95" t="s">
        <v>50</v>
      </c>
      <c r="F95" t="s">
        <v>41</v>
      </c>
      <c r="G95" t="s">
        <v>46</v>
      </c>
      <c r="H95">
        <v>1</v>
      </c>
      <c r="I95">
        <v>1</v>
      </c>
      <c r="J95">
        <v>1</v>
      </c>
      <c r="K95">
        <v>0</v>
      </c>
      <c r="L95">
        <v>0</v>
      </c>
      <c r="M95">
        <v>1</v>
      </c>
      <c r="N95">
        <v>1</v>
      </c>
      <c r="O95">
        <v>0</v>
      </c>
      <c r="Q95">
        <v>37.4</v>
      </c>
    </row>
    <row r="96" spans="1:17">
      <c r="A96" t="s">
        <v>142</v>
      </c>
      <c r="B96" s="8">
        <v>45760</v>
      </c>
      <c r="C96" t="s">
        <v>1</v>
      </c>
      <c r="D96" t="s">
        <v>44</v>
      </c>
      <c r="E96" t="s">
        <v>40</v>
      </c>
      <c r="F96" t="s">
        <v>41</v>
      </c>
      <c r="G96" t="s">
        <v>42</v>
      </c>
      <c r="H96">
        <v>0</v>
      </c>
      <c r="I96">
        <v>0</v>
      </c>
      <c r="J96">
        <v>0</v>
      </c>
      <c r="K96">
        <v>0</v>
      </c>
      <c r="L96">
        <v>0</v>
      </c>
      <c r="M96">
        <v>0</v>
      </c>
      <c r="N96">
        <v>0</v>
      </c>
      <c r="O96">
        <v>0</v>
      </c>
      <c r="Q96">
        <v>84.2</v>
      </c>
    </row>
    <row r="97" spans="1:17">
      <c r="A97" t="s">
        <v>143</v>
      </c>
      <c r="B97" s="8">
        <v>45693</v>
      </c>
      <c r="C97" t="s">
        <v>1</v>
      </c>
      <c r="D97" t="s">
        <v>44</v>
      </c>
      <c r="E97" t="s">
        <v>40</v>
      </c>
      <c r="F97" t="s">
        <v>57</v>
      </c>
      <c r="G97" t="s">
        <v>42</v>
      </c>
      <c r="H97">
        <v>0</v>
      </c>
      <c r="I97">
        <v>0</v>
      </c>
      <c r="J97">
        <v>0</v>
      </c>
      <c r="K97">
        <v>0</v>
      </c>
      <c r="L97">
        <v>0</v>
      </c>
      <c r="M97">
        <v>0</v>
      </c>
      <c r="N97">
        <v>0</v>
      </c>
      <c r="O97">
        <v>0</v>
      </c>
      <c r="Q97">
        <v>68</v>
      </c>
    </row>
    <row r="98" spans="1:17">
      <c r="A98" t="s">
        <v>144</v>
      </c>
      <c r="B98" s="8">
        <v>45702</v>
      </c>
      <c r="C98" t="s">
        <v>1</v>
      </c>
      <c r="D98" t="s">
        <v>39</v>
      </c>
      <c r="E98" t="s">
        <v>40</v>
      </c>
      <c r="F98" t="s">
        <v>41</v>
      </c>
      <c r="G98" t="s">
        <v>37</v>
      </c>
      <c r="H98">
        <v>1</v>
      </c>
      <c r="I98">
        <v>0</v>
      </c>
      <c r="J98">
        <v>0</v>
      </c>
      <c r="K98">
        <v>0</v>
      </c>
      <c r="L98">
        <v>0</v>
      </c>
      <c r="M98">
        <v>0</v>
      </c>
      <c r="N98">
        <v>0</v>
      </c>
      <c r="O98">
        <v>0</v>
      </c>
      <c r="Q98">
        <v>53.5</v>
      </c>
    </row>
    <row r="99" spans="1:17">
      <c r="A99" t="s">
        <v>145</v>
      </c>
      <c r="B99" s="8">
        <v>45699</v>
      </c>
      <c r="C99" t="s">
        <v>1</v>
      </c>
      <c r="D99" t="s">
        <v>34</v>
      </c>
      <c r="E99" t="s">
        <v>35</v>
      </c>
      <c r="F99" t="s">
        <v>41</v>
      </c>
      <c r="G99" t="s">
        <v>46</v>
      </c>
      <c r="H99">
        <v>1</v>
      </c>
      <c r="I99">
        <v>0</v>
      </c>
      <c r="J99">
        <v>0</v>
      </c>
      <c r="K99">
        <v>0</v>
      </c>
      <c r="L99">
        <v>0</v>
      </c>
      <c r="M99">
        <v>0</v>
      </c>
      <c r="N99">
        <v>0</v>
      </c>
      <c r="O99">
        <v>0</v>
      </c>
      <c r="Q99">
        <v>63.2</v>
      </c>
    </row>
    <row r="100" spans="1:17">
      <c r="A100" t="s">
        <v>146</v>
      </c>
      <c r="B100" s="8">
        <v>45699</v>
      </c>
      <c r="C100" t="s">
        <v>1</v>
      </c>
      <c r="D100" t="s">
        <v>44</v>
      </c>
      <c r="E100" t="s">
        <v>35</v>
      </c>
      <c r="F100" t="s">
        <v>57</v>
      </c>
      <c r="G100" t="s">
        <v>42</v>
      </c>
      <c r="H100">
        <v>1</v>
      </c>
      <c r="I100">
        <v>1</v>
      </c>
      <c r="J100">
        <v>1</v>
      </c>
      <c r="K100">
        <v>1</v>
      </c>
      <c r="L100">
        <v>363.32</v>
      </c>
      <c r="M100">
        <v>0</v>
      </c>
      <c r="N100">
        <v>0</v>
      </c>
      <c r="O100">
        <v>0</v>
      </c>
      <c r="P100">
        <v>9</v>
      </c>
      <c r="Q100">
        <v>55.9</v>
      </c>
    </row>
    <row r="101" spans="1:17">
      <c r="A101" t="s">
        <v>147</v>
      </c>
      <c r="B101" s="8">
        <v>45803</v>
      </c>
      <c r="C101" t="s">
        <v>1</v>
      </c>
      <c r="D101" t="s">
        <v>34</v>
      </c>
      <c r="E101" t="s">
        <v>40</v>
      </c>
      <c r="F101" t="s">
        <v>41</v>
      </c>
      <c r="G101" t="s">
        <v>42</v>
      </c>
      <c r="H101">
        <v>1</v>
      </c>
      <c r="I101">
        <v>0</v>
      </c>
      <c r="J101">
        <v>0</v>
      </c>
      <c r="K101">
        <v>0</v>
      </c>
      <c r="L101">
        <v>0</v>
      </c>
      <c r="M101">
        <v>0</v>
      </c>
      <c r="N101">
        <v>0</v>
      </c>
      <c r="O101">
        <v>0</v>
      </c>
      <c r="Q101">
        <v>63.5</v>
      </c>
    </row>
    <row r="102" spans="1:17">
      <c r="A102" t="s">
        <v>148</v>
      </c>
      <c r="B102" s="8">
        <v>45738</v>
      </c>
      <c r="C102" t="s">
        <v>1</v>
      </c>
      <c r="D102" t="s">
        <v>34</v>
      </c>
      <c r="E102" t="s">
        <v>40</v>
      </c>
      <c r="F102" t="s">
        <v>45</v>
      </c>
      <c r="G102" t="s">
        <v>37</v>
      </c>
      <c r="H102">
        <v>1</v>
      </c>
      <c r="I102">
        <v>0</v>
      </c>
      <c r="J102">
        <v>0</v>
      </c>
      <c r="K102">
        <v>0</v>
      </c>
      <c r="L102">
        <v>0</v>
      </c>
      <c r="M102">
        <v>0</v>
      </c>
      <c r="N102">
        <v>0</v>
      </c>
      <c r="O102">
        <v>0</v>
      </c>
      <c r="Q102">
        <v>51.5</v>
      </c>
    </row>
    <row r="103" spans="1:17">
      <c r="A103" t="s">
        <v>149</v>
      </c>
      <c r="B103" s="8">
        <v>45755</v>
      </c>
      <c r="C103" t="s">
        <v>1</v>
      </c>
      <c r="D103" t="s">
        <v>39</v>
      </c>
      <c r="E103" t="s">
        <v>40</v>
      </c>
      <c r="F103" t="s">
        <v>45</v>
      </c>
      <c r="G103" t="s">
        <v>42</v>
      </c>
      <c r="H103">
        <v>1</v>
      </c>
      <c r="I103">
        <v>0</v>
      </c>
      <c r="J103">
        <v>0</v>
      </c>
      <c r="K103">
        <v>0</v>
      </c>
      <c r="L103">
        <v>0</v>
      </c>
      <c r="M103">
        <v>0</v>
      </c>
      <c r="N103">
        <v>0</v>
      </c>
      <c r="O103">
        <v>0</v>
      </c>
      <c r="Q103">
        <v>74.400000000000006</v>
      </c>
    </row>
    <row r="104" spans="1:17">
      <c r="A104" t="s">
        <v>150</v>
      </c>
      <c r="B104" s="8">
        <v>45761</v>
      </c>
      <c r="C104" t="s">
        <v>1</v>
      </c>
      <c r="D104" t="s">
        <v>34</v>
      </c>
      <c r="E104" t="s">
        <v>35</v>
      </c>
      <c r="F104" t="s">
        <v>57</v>
      </c>
      <c r="G104" t="s">
        <v>42</v>
      </c>
      <c r="H104">
        <v>1</v>
      </c>
      <c r="I104">
        <v>1</v>
      </c>
      <c r="J104">
        <v>1</v>
      </c>
      <c r="K104">
        <v>1</v>
      </c>
      <c r="L104">
        <v>3887.98</v>
      </c>
      <c r="M104">
        <v>0</v>
      </c>
      <c r="N104">
        <v>0</v>
      </c>
      <c r="O104">
        <v>0</v>
      </c>
      <c r="P104">
        <v>13</v>
      </c>
      <c r="Q104">
        <v>60.2</v>
      </c>
    </row>
    <row r="105" spans="1:17">
      <c r="A105" t="s">
        <v>151</v>
      </c>
      <c r="B105" s="8">
        <v>45743</v>
      </c>
      <c r="C105" t="s">
        <v>1</v>
      </c>
      <c r="D105" t="s">
        <v>48</v>
      </c>
      <c r="E105" t="s">
        <v>40</v>
      </c>
      <c r="F105" t="s">
        <v>36</v>
      </c>
      <c r="G105" t="s">
        <v>42</v>
      </c>
      <c r="H105">
        <v>1</v>
      </c>
      <c r="I105">
        <v>0</v>
      </c>
      <c r="J105">
        <v>0</v>
      </c>
      <c r="K105">
        <v>0</v>
      </c>
      <c r="L105">
        <v>0</v>
      </c>
      <c r="M105">
        <v>1</v>
      </c>
      <c r="N105">
        <v>1</v>
      </c>
      <c r="O105">
        <v>0</v>
      </c>
      <c r="Q105">
        <v>67.2</v>
      </c>
    </row>
    <row r="106" spans="1:17">
      <c r="A106" t="s">
        <v>152</v>
      </c>
      <c r="B106" s="8">
        <v>45662</v>
      </c>
      <c r="C106" t="s">
        <v>1</v>
      </c>
      <c r="D106" t="s">
        <v>48</v>
      </c>
      <c r="E106" t="s">
        <v>40</v>
      </c>
      <c r="F106" t="s">
        <v>57</v>
      </c>
      <c r="G106" t="s">
        <v>42</v>
      </c>
      <c r="H106">
        <v>1</v>
      </c>
      <c r="I106">
        <v>1</v>
      </c>
      <c r="J106">
        <v>1</v>
      </c>
      <c r="K106">
        <v>0</v>
      </c>
      <c r="L106">
        <v>0</v>
      </c>
      <c r="M106">
        <v>0</v>
      </c>
      <c r="N106">
        <v>0</v>
      </c>
      <c r="O106">
        <v>0</v>
      </c>
      <c r="Q106">
        <v>79.599999999999994</v>
      </c>
    </row>
    <row r="107" spans="1:17">
      <c r="A107" t="s">
        <v>153</v>
      </c>
      <c r="B107" s="8">
        <v>45682</v>
      </c>
      <c r="C107" t="s">
        <v>1</v>
      </c>
      <c r="D107" t="s">
        <v>48</v>
      </c>
      <c r="E107" t="s">
        <v>40</v>
      </c>
      <c r="F107" t="s">
        <v>57</v>
      </c>
      <c r="G107" t="s">
        <v>37</v>
      </c>
      <c r="H107">
        <v>1</v>
      </c>
      <c r="I107">
        <v>1</v>
      </c>
      <c r="J107">
        <v>1</v>
      </c>
      <c r="K107">
        <v>1</v>
      </c>
      <c r="L107">
        <v>8610.7199999999993</v>
      </c>
      <c r="M107">
        <v>0</v>
      </c>
      <c r="N107">
        <v>0</v>
      </c>
      <c r="O107">
        <v>0</v>
      </c>
      <c r="P107">
        <v>6</v>
      </c>
      <c r="Q107">
        <v>61</v>
      </c>
    </row>
    <row r="108" spans="1:17">
      <c r="A108" t="s">
        <v>154</v>
      </c>
      <c r="B108" s="8">
        <v>45680</v>
      </c>
      <c r="C108" t="s">
        <v>1</v>
      </c>
      <c r="D108" t="s">
        <v>39</v>
      </c>
      <c r="E108" t="s">
        <v>40</v>
      </c>
      <c r="F108" t="s">
        <v>36</v>
      </c>
      <c r="G108" t="s">
        <v>42</v>
      </c>
      <c r="H108">
        <v>1</v>
      </c>
      <c r="I108">
        <v>1</v>
      </c>
      <c r="J108">
        <v>1</v>
      </c>
      <c r="K108">
        <v>0</v>
      </c>
      <c r="L108">
        <v>0</v>
      </c>
      <c r="M108">
        <v>4</v>
      </c>
      <c r="N108">
        <v>1</v>
      </c>
      <c r="O108">
        <v>0</v>
      </c>
      <c r="Q108">
        <v>51.1</v>
      </c>
    </row>
    <row r="109" spans="1:17">
      <c r="A109" t="s">
        <v>155</v>
      </c>
      <c r="B109" s="8">
        <v>45802</v>
      </c>
      <c r="C109" t="s">
        <v>1</v>
      </c>
      <c r="D109" t="s">
        <v>44</v>
      </c>
      <c r="E109" t="s">
        <v>35</v>
      </c>
      <c r="F109" t="s">
        <v>55</v>
      </c>
      <c r="G109" t="s">
        <v>42</v>
      </c>
      <c r="H109">
        <v>1</v>
      </c>
      <c r="I109">
        <v>0</v>
      </c>
      <c r="J109">
        <v>0</v>
      </c>
      <c r="K109">
        <v>0</v>
      </c>
      <c r="L109">
        <v>0</v>
      </c>
      <c r="M109">
        <v>0</v>
      </c>
      <c r="N109">
        <v>0</v>
      </c>
      <c r="O109">
        <v>0</v>
      </c>
      <c r="Q109">
        <v>92.1</v>
      </c>
    </row>
    <row r="110" spans="1:17">
      <c r="A110" t="s">
        <v>156</v>
      </c>
      <c r="B110" s="8">
        <v>45738</v>
      </c>
      <c r="C110" t="s">
        <v>1</v>
      </c>
      <c r="D110" t="s">
        <v>48</v>
      </c>
      <c r="E110" t="s">
        <v>40</v>
      </c>
      <c r="F110" t="s">
        <v>55</v>
      </c>
      <c r="G110" t="s">
        <v>37</v>
      </c>
      <c r="H110">
        <v>0</v>
      </c>
      <c r="I110">
        <v>0</v>
      </c>
      <c r="J110">
        <v>0</v>
      </c>
      <c r="K110">
        <v>0</v>
      </c>
      <c r="L110">
        <v>0</v>
      </c>
      <c r="M110">
        <v>0</v>
      </c>
      <c r="N110">
        <v>0</v>
      </c>
      <c r="O110">
        <v>0</v>
      </c>
      <c r="Q110">
        <v>82.1</v>
      </c>
    </row>
    <row r="111" spans="1:17">
      <c r="A111" t="s">
        <v>157</v>
      </c>
      <c r="B111" s="8">
        <v>45700</v>
      </c>
      <c r="C111" t="s">
        <v>1</v>
      </c>
      <c r="D111" t="s">
        <v>39</v>
      </c>
      <c r="E111" t="s">
        <v>35</v>
      </c>
      <c r="F111" t="s">
        <v>45</v>
      </c>
      <c r="G111" t="s">
        <v>37</v>
      </c>
      <c r="H111">
        <v>1</v>
      </c>
      <c r="I111">
        <v>0</v>
      </c>
      <c r="J111">
        <v>0</v>
      </c>
      <c r="K111">
        <v>0</v>
      </c>
      <c r="L111">
        <v>0</v>
      </c>
      <c r="M111">
        <v>1</v>
      </c>
      <c r="N111">
        <v>1</v>
      </c>
      <c r="O111">
        <v>0</v>
      </c>
      <c r="Q111">
        <v>74</v>
      </c>
    </row>
    <row r="112" spans="1:17">
      <c r="A112" t="s">
        <v>158</v>
      </c>
      <c r="B112" s="8">
        <v>45775</v>
      </c>
      <c r="C112" t="s">
        <v>1</v>
      </c>
      <c r="D112" t="s">
        <v>39</v>
      </c>
      <c r="E112" t="s">
        <v>35</v>
      </c>
      <c r="F112" t="s">
        <v>41</v>
      </c>
      <c r="G112" t="s">
        <v>37</v>
      </c>
      <c r="H112">
        <v>1</v>
      </c>
      <c r="I112">
        <v>0</v>
      </c>
      <c r="J112">
        <v>0</v>
      </c>
      <c r="K112">
        <v>0</v>
      </c>
      <c r="L112">
        <v>0</v>
      </c>
      <c r="M112">
        <v>0</v>
      </c>
      <c r="N112">
        <v>0</v>
      </c>
      <c r="O112">
        <v>0</v>
      </c>
      <c r="Q112">
        <v>63.4</v>
      </c>
    </row>
    <row r="113" spans="1:17">
      <c r="A113" t="s">
        <v>159</v>
      </c>
      <c r="B113" s="8">
        <v>45687</v>
      </c>
      <c r="C113" t="s">
        <v>1</v>
      </c>
      <c r="D113" t="s">
        <v>34</v>
      </c>
      <c r="E113" t="s">
        <v>40</v>
      </c>
      <c r="F113" t="s">
        <v>41</v>
      </c>
      <c r="G113" t="s">
        <v>37</v>
      </c>
      <c r="H113">
        <v>1</v>
      </c>
      <c r="I113">
        <v>0</v>
      </c>
      <c r="J113">
        <v>0</v>
      </c>
      <c r="K113">
        <v>0</v>
      </c>
      <c r="L113">
        <v>0</v>
      </c>
      <c r="M113">
        <v>0</v>
      </c>
      <c r="N113">
        <v>0</v>
      </c>
      <c r="O113">
        <v>0</v>
      </c>
      <c r="Q113">
        <v>53.2</v>
      </c>
    </row>
    <row r="114" spans="1:17">
      <c r="A114" t="s">
        <v>160</v>
      </c>
      <c r="B114" s="8">
        <v>45796</v>
      </c>
      <c r="C114" t="s">
        <v>1</v>
      </c>
      <c r="D114" t="s">
        <v>44</v>
      </c>
      <c r="E114" t="s">
        <v>50</v>
      </c>
      <c r="F114" t="s">
        <v>45</v>
      </c>
      <c r="G114" t="s">
        <v>42</v>
      </c>
      <c r="H114">
        <v>0</v>
      </c>
      <c r="I114">
        <v>0</v>
      </c>
      <c r="J114">
        <v>0</v>
      </c>
      <c r="K114">
        <v>0</v>
      </c>
      <c r="L114">
        <v>0</v>
      </c>
      <c r="M114">
        <v>0</v>
      </c>
      <c r="N114">
        <v>0</v>
      </c>
      <c r="O114">
        <v>0</v>
      </c>
      <c r="Q114">
        <v>48.1</v>
      </c>
    </row>
    <row r="115" spans="1:17">
      <c r="A115" t="s">
        <v>161</v>
      </c>
      <c r="B115" s="8">
        <v>45680</v>
      </c>
      <c r="C115" t="s">
        <v>1</v>
      </c>
      <c r="D115" t="s">
        <v>48</v>
      </c>
      <c r="E115" t="s">
        <v>40</v>
      </c>
      <c r="F115" t="s">
        <v>57</v>
      </c>
      <c r="G115" t="s">
        <v>42</v>
      </c>
      <c r="H115">
        <v>1</v>
      </c>
      <c r="I115">
        <v>1</v>
      </c>
      <c r="J115">
        <v>0</v>
      </c>
      <c r="K115">
        <v>0</v>
      </c>
      <c r="L115">
        <v>0</v>
      </c>
      <c r="M115">
        <v>0</v>
      </c>
      <c r="N115">
        <v>0</v>
      </c>
      <c r="O115">
        <v>0</v>
      </c>
      <c r="Q115">
        <v>61.5</v>
      </c>
    </row>
    <row r="116" spans="1:17">
      <c r="A116" t="s">
        <v>162</v>
      </c>
      <c r="B116" s="8">
        <v>45744</v>
      </c>
      <c r="C116" t="s">
        <v>1</v>
      </c>
      <c r="D116" t="s">
        <v>44</v>
      </c>
      <c r="E116" t="s">
        <v>35</v>
      </c>
      <c r="F116" t="s">
        <v>57</v>
      </c>
      <c r="G116" t="s">
        <v>42</v>
      </c>
      <c r="H116">
        <v>1</v>
      </c>
      <c r="I116">
        <v>0</v>
      </c>
      <c r="J116">
        <v>0</v>
      </c>
      <c r="K116">
        <v>0</v>
      </c>
      <c r="L116">
        <v>0</v>
      </c>
      <c r="M116">
        <v>0</v>
      </c>
      <c r="N116">
        <v>0</v>
      </c>
      <c r="O116">
        <v>0</v>
      </c>
      <c r="Q116">
        <v>63.2</v>
      </c>
    </row>
    <row r="117" spans="1:17">
      <c r="A117" t="s">
        <v>163</v>
      </c>
      <c r="B117" s="8">
        <v>45668</v>
      </c>
      <c r="C117" t="s">
        <v>1</v>
      </c>
      <c r="D117" t="s">
        <v>39</v>
      </c>
      <c r="E117" t="s">
        <v>40</v>
      </c>
      <c r="F117" t="s">
        <v>41</v>
      </c>
      <c r="G117" t="s">
        <v>42</v>
      </c>
      <c r="H117">
        <v>0</v>
      </c>
      <c r="I117">
        <v>0</v>
      </c>
      <c r="J117">
        <v>0</v>
      </c>
      <c r="K117">
        <v>0</v>
      </c>
      <c r="L117">
        <v>0</v>
      </c>
      <c r="M117">
        <v>0</v>
      </c>
      <c r="N117">
        <v>0</v>
      </c>
      <c r="O117">
        <v>0</v>
      </c>
      <c r="Q117">
        <v>71.900000000000006</v>
      </c>
    </row>
    <row r="118" spans="1:17">
      <c r="A118" t="s">
        <v>164</v>
      </c>
      <c r="B118" s="8">
        <v>45758</v>
      </c>
      <c r="C118" t="s">
        <v>1</v>
      </c>
      <c r="D118" t="s">
        <v>34</v>
      </c>
      <c r="E118" t="s">
        <v>40</v>
      </c>
      <c r="F118" t="s">
        <v>55</v>
      </c>
      <c r="G118" t="s">
        <v>42</v>
      </c>
      <c r="H118">
        <v>0</v>
      </c>
      <c r="I118">
        <v>0</v>
      </c>
      <c r="J118">
        <v>0</v>
      </c>
      <c r="K118">
        <v>0</v>
      </c>
      <c r="L118">
        <v>0</v>
      </c>
      <c r="M118">
        <v>0</v>
      </c>
      <c r="N118">
        <v>0</v>
      </c>
      <c r="O118">
        <v>0</v>
      </c>
      <c r="Q118">
        <v>62.7</v>
      </c>
    </row>
    <row r="119" spans="1:17">
      <c r="A119" t="s">
        <v>165</v>
      </c>
      <c r="B119" s="8">
        <v>45659</v>
      </c>
      <c r="C119" t="s">
        <v>1</v>
      </c>
      <c r="D119" t="s">
        <v>39</v>
      </c>
      <c r="E119" t="s">
        <v>40</v>
      </c>
      <c r="F119" t="s">
        <v>45</v>
      </c>
      <c r="G119" t="s">
        <v>42</v>
      </c>
      <c r="H119">
        <v>1</v>
      </c>
      <c r="I119">
        <v>0</v>
      </c>
      <c r="J119">
        <v>0</v>
      </c>
      <c r="K119">
        <v>0</v>
      </c>
      <c r="L119">
        <v>0</v>
      </c>
      <c r="M119">
        <v>0</v>
      </c>
      <c r="N119">
        <v>0</v>
      </c>
      <c r="O119">
        <v>0</v>
      </c>
      <c r="Q119">
        <v>51.5</v>
      </c>
    </row>
    <row r="120" spans="1:17">
      <c r="A120" t="s">
        <v>166</v>
      </c>
      <c r="B120" s="8">
        <v>45734</v>
      </c>
      <c r="C120" t="s">
        <v>1</v>
      </c>
      <c r="D120" t="s">
        <v>44</v>
      </c>
      <c r="E120" t="s">
        <v>40</v>
      </c>
      <c r="F120" t="s">
        <v>57</v>
      </c>
      <c r="G120" t="s">
        <v>42</v>
      </c>
      <c r="H120">
        <v>1</v>
      </c>
      <c r="I120">
        <v>1</v>
      </c>
      <c r="J120">
        <v>1</v>
      </c>
      <c r="K120">
        <v>0</v>
      </c>
      <c r="L120">
        <v>0</v>
      </c>
      <c r="M120">
        <v>0</v>
      </c>
      <c r="N120">
        <v>0</v>
      </c>
      <c r="O120">
        <v>0</v>
      </c>
      <c r="Q120">
        <v>39.1</v>
      </c>
    </row>
    <row r="121" spans="1:17">
      <c r="A121" t="s">
        <v>167</v>
      </c>
      <c r="B121" s="8">
        <v>45747</v>
      </c>
      <c r="C121" t="s">
        <v>1</v>
      </c>
      <c r="D121" t="s">
        <v>34</v>
      </c>
      <c r="E121" t="s">
        <v>40</v>
      </c>
      <c r="F121" t="s">
        <v>36</v>
      </c>
      <c r="G121" t="s">
        <v>42</v>
      </c>
      <c r="H121">
        <v>1</v>
      </c>
      <c r="I121">
        <v>0</v>
      </c>
      <c r="J121">
        <v>0</v>
      </c>
      <c r="K121">
        <v>0</v>
      </c>
      <c r="L121">
        <v>0</v>
      </c>
      <c r="M121">
        <v>0</v>
      </c>
      <c r="N121">
        <v>0</v>
      </c>
      <c r="O121">
        <v>0</v>
      </c>
      <c r="Q121">
        <v>43.8</v>
      </c>
    </row>
    <row r="122" spans="1:17">
      <c r="A122" t="s">
        <v>168</v>
      </c>
      <c r="B122" s="8">
        <v>45663</v>
      </c>
      <c r="C122" t="s">
        <v>1</v>
      </c>
      <c r="D122" t="s">
        <v>34</v>
      </c>
      <c r="E122" t="s">
        <v>40</v>
      </c>
      <c r="F122" t="s">
        <v>45</v>
      </c>
      <c r="G122" t="s">
        <v>37</v>
      </c>
      <c r="H122">
        <v>1</v>
      </c>
      <c r="I122">
        <v>0</v>
      </c>
      <c r="J122">
        <v>0</v>
      </c>
      <c r="K122">
        <v>0</v>
      </c>
      <c r="L122">
        <v>0</v>
      </c>
      <c r="M122">
        <v>0</v>
      </c>
      <c r="N122">
        <v>0</v>
      </c>
      <c r="O122">
        <v>0</v>
      </c>
      <c r="Q122">
        <v>59.9</v>
      </c>
    </row>
    <row r="123" spans="1:17">
      <c r="A123" t="s">
        <v>169</v>
      </c>
      <c r="B123" s="8">
        <v>45683</v>
      </c>
      <c r="C123" t="s">
        <v>1</v>
      </c>
      <c r="D123" t="s">
        <v>34</v>
      </c>
      <c r="E123" t="s">
        <v>40</v>
      </c>
      <c r="F123" t="s">
        <v>55</v>
      </c>
      <c r="G123" t="s">
        <v>42</v>
      </c>
      <c r="H123">
        <v>1</v>
      </c>
      <c r="I123">
        <v>1</v>
      </c>
      <c r="J123">
        <v>0</v>
      </c>
      <c r="K123">
        <v>0</v>
      </c>
      <c r="L123">
        <v>0</v>
      </c>
      <c r="M123">
        <v>0</v>
      </c>
      <c r="N123">
        <v>0</v>
      </c>
      <c r="O123">
        <v>0</v>
      </c>
      <c r="Q123">
        <v>71.400000000000006</v>
      </c>
    </row>
    <row r="124" spans="1:17">
      <c r="A124" t="s">
        <v>170</v>
      </c>
      <c r="B124" s="8">
        <v>45769</v>
      </c>
      <c r="C124" t="s">
        <v>1</v>
      </c>
      <c r="D124" t="s">
        <v>48</v>
      </c>
      <c r="E124" t="s">
        <v>40</v>
      </c>
      <c r="F124" t="s">
        <v>55</v>
      </c>
      <c r="G124" t="s">
        <v>37</v>
      </c>
      <c r="H124">
        <v>0</v>
      </c>
      <c r="I124">
        <v>0</v>
      </c>
      <c r="J124">
        <v>0</v>
      </c>
      <c r="K124">
        <v>0</v>
      </c>
      <c r="L124">
        <v>0</v>
      </c>
      <c r="M124">
        <v>0</v>
      </c>
      <c r="N124">
        <v>0</v>
      </c>
      <c r="O124">
        <v>0</v>
      </c>
      <c r="Q124">
        <v>36.1</v>
      </c>
    </row>
    <row r="125" spans="1:17">
      <c r="A125" t="s">
        <v>171</v>
      </c>
      <c r="B125" s="8">
        <v>45807</v>
      </c>
      <c r="C125" t="s">
        <v>1</v>
      </c>
      <c r="D125" t="s">
        <v>39</v>
      </c>
      <c r="F125" t="s">
        <v>36</v>
      </c>
      <c r="G125" t="s">
        <v>37</v>
      </c>
      <c r="H125">
        <v>1</v>
      </c>
      <c r="I125">
        <v>1</v>
      </c>
      <c r="J125">
        <v>0</v>
      </c>
      <c r="K125">
        <v>0</v>
      </c>
      <c r="L125">
        <v>0</v>
      </c>
      <c r="M125">
        <v>0</v>
      </c>
      <c r="N125">
        <v>0</v>
      </c>
      <c r="O125">
        <v>0</v>
      </c>
      <c r="Q125">
        <v>47.9</v>
      </c>
    </row>
    <row r="126" spans="1:17">
      <c r="A126" t="s">
        <v>172</v>
      </c>
      <c r="B126" s="8">
        <v>45795</v>
      </c>
      <c r="C126" t="s">
        <v>1</v>
      </c>
      <c r="D126" t="s">
        <v>39</v>
      </c>
      <c r="E126" t="s">
        <v>35</v>
      </c>
      <c r="F126" t="s">
        <v>41</v>
      </c>
      <c r="G126" t="s">
        <v>46</v>
      </c>
      <c r="H126">
        <v>1</v>
      </c>
      <c r="I126">
        <v>0</v>
      </c>
      <c r="J126">
        <v>0</v>
      </c>
      <c r="K126">
        <v>0</v>
      </c>
      <c r="L126">
        <v>0</v>
      </c>
      <c r="M126">
        <v>0</v>
      </c>
      <c r="N126">
        <v>0</v>
      </c>
      <c r="O126">
        <v>0</v>
      </c>
      <c r="Q126">
        <v>62.5</v>
      </c>
    </row>
    <row r="127" spans="1:17">
      <c r="A127" t="s">
        <v>173</v>
      </c>
      <c r="B127" s="8">
        <v>45670</v>
      </c>
      <c r="C127" t="s">
        <v>1</v>
      </c>
      <c r="D127" t="s">
        <v>48</v>
      </c>
      <c r="E127" t="s">
        <v>35</v>
      </c>
      <c r="F127" t="s">
        <v>45</v>
      </c>
      <c r="G127" t="s">
        <v>46</v>
      </c>
      <c r="H127">
        <v>1</v>
      </c>
      <c r="I127">
        <v>0</v>
      </c>
      <c r="J127">
        <v>0</v>
      </c>
      <c r="K127">
        <v>0</v>
      </c>
      <c r="L127">
        <v>0</v>
      </c>
      <c r="M127">
        <v>0</v>
      </c>
      <c r="N127">
        <v>0</v>
      </c>
      <c r="O127">
        <v>0</v>
      </c>
      <c r="Q127">
        <v>56.9</v>
      </c>
    </row>
    <row r="128" spans="1:17">
      <c r="A128" t="s">
        <v>174</v>
      </c>
      <c r="B128" s="8">
        <v>45741</v>
      </c>
      <c r="C128" t="s">
        <v>1</v>
      </c>
      <c r="D128" t="s">
        <v>34</v>
      </c>
      <c r="E128" t="s">
        <v>35</v>
      </c>
      <c r="F128" t="s">
        <v>36</v>
      </c>
      <c r="G128" t="s">
        <v>42</v>
      </c>
      <c r="H128">
        <v>0</v>
      </c>
      <c r="I128">
        <v>0</v>
      </c>
      <c r="J128">
        <v>0</v>
      </c>
      <c r="K128">
        <v>0</v>
      </c>
      <c r="L128">
        <v>0</v>
      </c>
      <c r="M128">
        <v>0</v>
      </c>
      <c r="N128">
        <v>0</v>
      </c>
      <c r="O128">
        <v>0</v>
      </c>
      <c r="Q128">
        <v>64.7</v>
      </c>
    </row>
    <row r="129" spans="1:17">
      <c r="A129" t="s">
        <v>175</v>
      </c>
      <c r="B129" s="8">
        <v>45776</v>
      </c>
      <c r="C129" t="s">
        <v>1</v>
      </c>
      <c r="D129" t="s">
        <v>48</v>
      </c>
      <c r="E129" t="s">
        <v>35</v>
      </c>
      <c r="F129" t="s">
        <v>41</v>
      </c>
      <c r="G129" t="s">
        <v>42</v>
      </c>
      <c r="H129">
        <v>1</v>
      </c>
      <c r="I129">
        <v>1</v>
      </c>
      <c r="J129">
        <v>1</v>
      </c>
      <c r="K129">
        <v>0</v>
      </c>
      <c r="L129">
        <v>0</v>
      </c>
      <c r="M129">
        <v>0</v>
      </c>
      <c r="N129">
        <v>0</v>
      </c>
      <c r="O129">
        <v>0</v>
      </c>
      <c r="Q129">
        <v>64</v>
      </c>
    </row>
    <row r="130" spans="1:17">
      <c r="A130" t="s">
        <v>176</v>
      </c>
      <c r="B130" s="8">
        <v>45794</v>
      </c>
      <c r="C130" t="s">
        <v>1</v>
      </c>
      <c r="D130" t="s">
        <v>44</v>
      </c>
      <c r="E130" t="s">
        <v>40</v>
      </c>
      <c r="F130" t="s">
        <v>55</v>
      </c>
      <c r="G130" t="s">
        <v>37</v>
      </c>
      <c r="H130">
        <v>1</v>
      </c>
      <c r="I130">
        <v>1</v>
      </c>
      <c r="J130">
        <v>1</v>
      </c>
      <c r="K130">
        <v>0</v>
      </c>
      <c r="L130">
        <v>0</v>
      </c>
      <c r="M130">
        <v>0</v>
      </c>
      <c r="N130">
        <v>0</v>
      </c>
      <c r="O130">
        <v>0</v>
      </c>
      <c r="Q130">
        <v>75.2</v>
      </c>
    </row>
    <row r="131" spans="1:17">
      <c r="A131" t="s">
        <v>177</v>
      </c>
      <c r="B131" s="8">
        <v>45659</v>
      </c>
      <c r="C131" t="s">
        <v>1</v>
      </c>
      <c r="D131" t="s">
        <v>34</v>
      </c>
      <c r="E131" t="s">
        <v>40</v>
      </c>
      <c r="F131" t="s">
        <v>45</v>
      </c>
      <c r="G131" t="s">
        <v>42</v>
      </c>
      <c r="H131">
        <v>1</v>
      </c>
      <c r="I131">
        <v>0</v>
      </c>
      <c r="J131">
        <v>0</v>
      </c>
      <c r="K131">
        <v>0</v>
      </c>
      <c r="L131">
        <v>0</v>
      </c>
      <c r="M131">
        <v>1</v>
      </c>
      <c r="N131">
        <v>1</v>
      </c>
      <c r="O131">
        <v>0</v>
      </c>
      <c r="Q131">
        <v>79</v>
      </c>
    </row>
    <row r="132" spans="1:17">
      <c r="A132" t="s">
        <v>178</v>
      </c>
      <c r="B132" s="8">
        <v>45691</v>
      </c>
      <c r="C132" t="s">
        <v>1</v>
      </c>
      <c r="D132" t="s">
        <v>48</v>
      </c>
      <c r="E132" t="s">
        <v>40</v>
      </c>
      <c r="F132" t="s">
        <v>41</v>
      </c>
      <c r="G132" t="s">
        <v>42</v>
      </c>
      <c r="H132">
        <v>0</v>
      </c>
      <c r="I132">
        <v>0</v>
      </c>
      <c r="J132">
        <v>0</v>
      </c>
      <c r="K132">
        <v>0</v>
      </c>
      <c r="L132">
        <v>0</v>
      </c>
      <c r="M132">
        <v>0</v>
      </c>
      <c r="N132">
        <v>0</v>
      </c>
      <c r="O132">
        <v>0</v>
      </c>
      <c r="Q132">
        <v>33</v>
      </c>
    </row>
    <row r="133" spans="1:17">
      <c r="A133" t="s">
        <v>179</v>
      </c>
      <c r="B133" s="8">
        <v>45720</v>
      </c>
      <c r="C133" t="s">
        <v>1</v>
      </c>
      <c r="D133" t="s">
        <v>44</v>
      </c>
      <c r="E133" t="s">
        <v>40</v>
      </c>
      <c r="F133" t="s">
        <v>41</v>
      </c>
      <c r="G133" t="s">
        <v>42</v>
      </c>
      <c r="H133">
        <v>1</v>
      </c>
      <c r="I133">
        <v>0</v>
      </c>
      <c r="J133">
        <v>0</v>
      </c>
      <c r="K133">
        <v>0</v>
      </c>
      <c r="L133">
        <v>0</v>
      </c>
      <c r="M133">
        <v>0</v>
      </c>
      <c r="N133">
        <v>0</v>
      </c>
      <c r="O133">
        <v>0</v>
      </c>
      <c r="Q133">
        <v>67.900000000000006</v>
      </c>
    </row>
    <row r="134" spans="1:17">
      <c r="A134" t="s">
        <v>180</v>
      </c>
      <c r="B134" s="8">
        <v>45683</v>
      </c>
      <c r="C134" t="s">
        <v>1</v>
      </c>
      <c r="D134" t="s">
        <v>48</v>
      </c>
      <c r="E134" t="s">
        <v>40</v>
      </c>
      <c r="F134" t="s">
        <v>45</v>
      </c>
      <c r="G134" t="s">
        <v>37</v>
      </c>
      <c r="H134">
        <v>0</v>
      </c>
      <c r="I134">
        <v>0</v>
      </c>
      <c r="J134">
        <v>0</v>
      </c>
      <c r="K134">
        <v>0</v>
      </c>
      <c r="L134">
        <v>0</v>
      </c>
      <c r="M134">
        <v>0</v>
      </c>
      <c r="N134">
        <v>0</v>
      </c>
      <c r="O134">
        <v>0</v>
      </c>
      <c r="Q134">
        <v>42.2</v>
      </c>
    </row>
    <row r="135" spans="1:17">
      <c r="A135" t="s">
        <v>181</v>
      </c>
      <c r="B135" s="8">
        <v>45789</v>
      </c>
      <c r="C135" t="s">
        <v>1</v>
      </c>
      <c r="D135" t="s">
        <v>39</v>
      </c>
      <c r="E135" t="s">
        <v>40</v>
      </c>
      <c r="F135" t="s">
        <v>45</v>
      </c>
      <c r="G135" t="s">
        <v>37</v>
      </c>
      <c r="H135">
        <v>1</v>
      </c>
      <c r="I135">
        <v>1</v>
      </c>
      <c r="J135">
        <v>1</v>
      </c>
      <c r="K135">
        <v>0</v>
      </c>
      <c r="L135">
        <v>0</v>
      </c>
      <c r="M135">
        <v>0</v>
      </c>
      <c r="N135">
        <v>0</v>
      </c>
      <c r="O135">
        <v>0</v>
      </c>
      <c r="Q135">
        <v>43.4</v>
      </c>
    </row>
    <row r="136" spans="1:17">
      <c r="A136" t="s">
        <v>182</v>
      </c>
      <c r="B136" s="8">
        <v>45722</v>
      </c>
      <c r="C136" t="s">
        <v>1</v>
      </c>
      <c r="D136" t="s">
        <v>34</v>
      </c>
      <c r="E136" t="s">
        <v>40</v>
      </c>
      <c r="F136" t="s">
        <v>41</v>
      </c>
      <c r="G136" t="s">
        <v>37</v>
      </c>
      <c r="H136">
        <v>0</v>
      </c>
      <c r="I136">
        <v>0</v>
      </c>
      <c r="J136">
        <v>0</v>
      </c>
      <c r="K136">
        <v>0</v>
      </c>
      <c r="L136">
        <v>0</v>
      </c>
      <c r="M136">
        <v>0</v>
      </c>
      <c r="N136">
        <v>0</v>
      </c>
      <c r="O136">
        <v>0</v>
      </c>
      <c r="Q136">
        <v>54.4</v>
      </c>
    </row>
    <row r="137" spans="1:17">
      <c r="A137" t="s">
        <v>183</v>
      </c>
      <c r="B137" s="8">
        <v>45726</v>
      </c>
      <c r="C137" t="s">
        <v>1</v>
      </c>
      <c r="D137" t="s">
        <v>48</v>
      </c>
      <c r="E137" t="s">
        <v>35</v>
      </c>
      <c r="F137" t="s">
        <v>36</v>
      </c>
      <c r="G137" t="s">
        <v>46</v>
      </c>
      <c r="H137">
        <v>0</v>
      </c>
      <c r="I137">
        <v>0</v>
      </c>
      <c r="J137">
        <v>0</v>
      </c>
      <c r="K137">
        <v>0</v>
      </c>
      <c r="L137">
        <v>0</v>
      </c>
      <c r="M137">
        <v>0</v>
      </c>
      <c r="N137">
        <v>0</v>
      </c>
      <c r="O137">
        <v>0</v>
      </c>
      <c r="Q137">
        <v>45.7</v>
      </c>
    </row>
    <row r="138" spans="1:17">
      <c r="A138" t="s">
        <v>184</v>
      </c>
      <c r="B138" s="8">
        <v>45783</v>
      </c>
      <c r="C138" t="s">
        <v>1</v>
      </c>
      <c r="D138" t="s">
        <v>34</v>
      </c>
      <c r="E138" t="s">
        <v>40</v>
      </c>
      <c r="F138" t="s">
        <v>45</v>
      </c>
      <c r="G138" t="s">
        <v>42</v>
      </c>
      <c r="H138">
        <v>0</v>
      </c>
      <c r="I138">
        <v>0</v>
      </c>
      <c r="J138">
        <v>0</v>
      </c>
      <c r="K138">
        <v>0</v>
      </c>
      <c r="L138">
        <v>0</v>
      </c>
      <c r="M138">
        <v>3</v>
      </c>
      <c r="N138">
        <v>1</v>
      </c>
      <c r="O138">
        <v>0</v>
      </c>
      <c r="Q138">
        <v>32</v>
      </c>
    </row>
    <row r="139" spans="1:17">
      <c r="A139" t="s">
        <v>185</v>
      </c>
      <c r="B139" s="8">
        <v>45711</v>
      </c>
      <c r="C139" t="s">
        <v>1</v>
      </c>
      <c r="D139" t="s">
        <v>48</v>
      </c>
      <c r="E139" t="s">
        <v>35</v>
      </c>
      <c r="F139" t="s">
        <v>45</v>
      </c>
      <c r="G139" t="s">
        <v>42</v>
      </c>
      <c r="H139">
        <v>1</v>
      </c>
      <c r="I139">
        <v>0</v>
      </c>
      <c r="J139">
        <v>0</v>
      </c>
      <c r="K139">
        <v>0</v>
      </c>
      <c r="L139">
        <v>0</v>
      </c>
      <c r="M139">
        <v>0</v>
      </c>
      <c r="N139">
        <v>0</v>
      </c>
      <c r="O139">
        <v>0</v>
      </c>
      <c r="Q139">
        <v>70.900000000000006</v>
      </c>
    </row>
    <row r="140" spans="1:17">
      <c r="A140" t="s">
        <v>186</v>
      </c>
      <c r="B140" s="8">
        <v>45686</v>
      </c>
      <c r="C140" t="s">
        <v>1</v>
      </c>
      <c r="D140" t="s">
        <v>39</v>
      </c>
      <c r="E140" t="s">
        <v>40</v>
      </c>
      <c r="F140" t="s">
        <v>57</v>
      </c>
      <c r="G140" t="s">
        <v>37</v>
      </c>
      <c r="H140">
        <v>1</v>
      </c>
      <c r="I140">
        <v>1</v>
      </c>
      <c r="J140">
        <v>1</v>
      </c>
      <c r="K140">
        <v>0</v>
      </c>
      <c r="L140">
        <v>0</v>
      </c>
      <c r="M140">
        <v>0</v>
      </c>
      <c r="N140">
        <v>0</v>
      </c>
      <c r="O140">
        <v>0</v>
      </c>
      <c r="Q140">
        <v>59.1</v>
      </c>
    </row>
    <row r="141" spans="1:17">
      <c r="A141" t="s">
        <v>187</v>
      </c>
      <c r="B141" s="8">
        <v>45688</v>
      </c>
      <c r="C141" t="s">
        <v>1</v>
      </c>
      <c r="D141" t="s">
        <v>34</v>
      </c>
      <c r="E141" t="s">
        <v>40</v>
      </c>
      <c r="F141" t="s">
        <v>41</v>
      </c>
      <c r="G141" t="s">
        <v>37</v>
      </c>
      <c r="H141">
        <v>0</v>
      </c>
      <c r="I141">
        <v>0</v>
      </c>
      <c r="J141">
        <v>0</v>
      </c>
      <c r="K141">
        <v>0</v>
      </c>
      <c r="L141">
        <v>0</v>
      </c>
      <c r="M141">
        <v>0</v>
      </c>
      <c r="N141">
        <v>0</v>
      </c>
      <c r="O141">
        <v>0</v>
      </c>
      <c r="Q141">
        <v>62.4</v>
      </c>
    </row>
    <row r="142" spans="1:17">
      <c r="A142" t="s">
        <v>188</v>
      </c>
      <c r="B142" s="8">
        <v>45676</v>
      </c>
      <c r="C142" t="s">
        <v>1</v>
      </c>
      <c r="D142" t="s">
        <v>48</v>
      </c>
      <c r="E142" t="s">
        <v>40</v>
      </c>
      <c r="F142" t="s">
        <v>41</v>
      </c>
      <c r="G142" t="s">
        <v>42</v>
      </c>
      <c r="H142">
        <v>0</v>
      </c>
      <c r="I142">
        <v>0</v>
      </c>
      <c r="J142">
        <v>0</v>
      </c>
      <c r="K142">
        <v>0</v>
      </c>
      <c r="L142">
        <v>0</v>
      </c>
      <c r="M142">
        <v>0</v>
      </c>
      <c r="N142">
        <v>0</v>
      </c>
      <c r="O142">
        <v>0</v>
      </c>
      <c r="Q142">
        <v>49.6</v>
      </c>
    </row>
    <row r="143" spans="1:17">
      <c r="A143" t="s">
        <v>189</v>
      </c>
      <c r="B143" s="8">
        <v>45750</v>
      </c>
      <c r="C143" t="s">
        <v>1</v>
      </c>
      <c r="D143" t="s">
        <v>39</v>
      </c>
      <c r="E143" t="s">
        <v>35</v>
      </c>
      <c r="F143" t="s">
        <v>57</v>
      </c>
      <c r="G143" t="s">
        <v>42</v>
      </c>
      <c r="H143">
        <v>1</v>
      </c>
      <c r="I143">
        <v>1</v>
      </c>
      <c r="J143">
        <v>1</v>
      </c>
      <c r="K143">
        <v>1</v>
      </c>
      <c r="L143">
        <v>404.4</v>
      </c>
      <c r="M143">
        <v>0</v>
      </c>
      <c r="N143">
        <v>0</v>
      </c>
      <c r="O143">
        <v>0</v>
      </c>
      <c r="P143">
        <v>9</v>
      </c>
      <c r="Q143">
        <v>80.599999999999994</v>
      </c>
    </row>
    <row r="144" spans="1:17">
      <c r="A144" t="s">
        <v>190</v>
      </c>
      <c r="B144" s="8">
        <v>45754</v>
      </c>
      <c r="C144" t="s">
        <v>1</v>
      </c>
      <c r="D144" t="s">
        <v>34</v>
      </c>
      <c r="E144" t="s">
        <v>40</v>
      </c>
      <c r="F144" t="s">
        <v>45</v>
      </c>
      <c r="G144" t="s">
        <v>42</v>
      </c>
      <c r="H144">
        <v>1</v>
      </c>
      <c r="I144">
        <v>0</v>
      </c>
      <c r="J144">
        <v>0</v>
      </c>
      <c r="K144">
        <v>0</v>
      </c>
      <c r="L144">
        <v>0</v>
      </c>
      <c r="M144">
        <v>0</v>
      </c>
      <c r="N144">
        <v>0</v>
      </c>
      <c r="O144">
        <v>0</v>
      </c>
      <c r="Q144">
        <v>47.9</v>
      </c>
    </row>
    <row r="145" spans="1:17">
      <c r="A145" t="s">
        <v>191</v>
      </c>
      <c r="B145" s="8">
        <v>45663</v>
      </c>
      <c r="C145" t="s">
        <v>1</v>
      </c>
      <c r="D145" t="s">
        <v>44</v>
      </c>
      <c r="E145" t="s">
        <v>40</v>
      </c>
      <c r="F145" t="s">
        <v>45</v>
      </c>
      <c r="G145" t="s">
        <v>37</v>
      </c>
      <c r="H145">
        <v>1</v>
      </c>
      <c r="I145">
        <v>1</v>
      </c>
      <c r="J145">
        <v>0</v>
      </c>
      <c r="K145">
        <v>0</v>
      </c>
      <c r="L145">
        <v>0</v>
      </c>
      <c r="M145">
        <v>0</v>
      </c>
      <c r="N145">
        <v>0</v>
      </c>
      <c r="O145">
        <v>0</v>
      </c>
      <c r="Q145">
        <v>54.8</v>
      </c>
    </row>
    <row r="146" spans="1:17">
      <c r="A146" t="s">
        <v>192</v>
      </c>
      <c r="B146" s="8">
        <v>45758</v>
      </c>
      <c r="C146" t="s">
        <v>1</v>
      </c>
      <c r="D146" t="s">
        <v>44</v>
      </c>
      <c r="E146" t="s">
        <v>40</v>
      </c>
      <c r="F146" t="s">
        <v>41</v>
      </c>
      <c r="G146" t="s">
        <v>42</v>
      </c>
      <c r="H146">
        <v>1</v>
      </c>
      <c r="I146">
        <v>0</v>
      </c>
      <c r="J146">
        <v>0</v>
      </c>
      <c r="K146">
        <v>0</v>
      </c>
      <c r="L146">
        <v>0</v>
      </c>
      <c r="M146">
        <v>1</v>
      </c>
      <c r="N146">
        <v>1</v>
      </c>
      <c r="O146">
        <v>0</v>
      </c>
      <c r="Q146">
        <v>53.9</v>
      </c>
    </row>
    <row r="147" spans="1:17">
      <c r="A147" t="s">
        <v>193</v>
      </c>
      <c r="B147" s="8">
        <v>45770</v>
      </c>
      <c r="C147" t="s">
        <v>1</v>
      </c>
      <c r="D147" t="s">
        <v>44</v>
      </c>
      <c r="E147" t="s">
        <v>40</v>
      </c>
      <c r="F147" t="s">
        <v>45</v>
      </c>
      <c r="G147" t="s">
        <v>42</v>
      </c>
      <c r="H147">
        <v>1</v>
      </c>
      <c r="I147">
        <v>0</v>
      </c>
      <c r="J147">
        <v>0</v>
      </c>
      <c r="K147">
        <v>0</v>
      </c>
      <c r="L147">
        <v>0</v>
      </c>
      <c r="M147">
        <v>0</v>
      </c>
      <c r="N147">
        <v>0</v>
      </c>
      <c r="O147">
        <v>0</v>
      </c>
      <c r="Q147">
        <v>41.3</v>
      </c>
    </row>
    <row r="148" spans="1:17">
      <c r="A148" t="s">
        <v>194</v>
      </c>
      <c r="B148" s="8">
        <v>45741</v>
      </c>
      <c r="C148" t="s">
        <v>1</v>
      </c>
      <c r="D148" t="s">
        <v>39</v>
      </c>
      <c r="E148" t="s">
        <v>40</v>
      </c>
      <c r="F148" t="s">
        <v>41</v>
      </c>
      <c r="G148" t="s">
        <v>37</v>
      </c>
      <c r="H148">
        <v>1</v>
      </c>
      <c r="I148">
        <v>1</v>
      </c>
      <c r="J148">
        <v>0</v>
      </c>
      <c r="K148">
        <v>0</v>
      </c>
      <c r="L148">
        <v>0</v>
      </c>
      <c r="M148">
        <v>0</v>
      </c>
      <c r="N148">
        <v>0</v>
      </c>
      <c r="O148">
        <v>0</v>
      </c>
      <c r="Q148">
        <v>38.9</v>
      </c>
    </row>
    <row r="149" spans="1:17">
      <c r="A149" t="s">
        <v>195</v>
      </c>
      <c r="B149" s="8">
        <v>45802</v>
      </c>
      <c r="C149" t="s">
        <v>1</v>
      </c>
      <c r="D149" t="s">
        <v>48</v>
      </c>
      <c r="E149" t="s">
        <v>35</v>
      </c>
      <c r="F149" t="s">
        <v>41</v>
      </c>
      <c r="G149" t="s">
        <v>37</v>
      </c>
      <c r="H149">
        <v>1</v>
      </c>
      <c r="I149">
        <v>0</v>
      </c>
      <c r="J149">
        <v>0</v>
      </c>
      <c r="K149">
        <v>0</v>
      </c>
      <c r="L149">
        <v>0</v>
      </c>
      <c r="M149">
        <v>0</v>
      </c>
      <c r="N149">
        <v>0</v>
      </c>
      <c r="O149">
        <v>0</v>
      </c>
      <c r="Q149">
        <v>63.6</v>
      </c>
    </row>
    <row r="150" spans="1:17">
      <c r="A150" t="s">
        <v>196</v>
      </c>
      <c r="B150" s="8">
        <v>45685</v>
      </c>
      <c r="C150" t="s">
        <v>1</v>
      </c>
      <c r="D150" t="s">
        <v>34</v>
      </c>
      <c r="E150" t="s">
        <v>40</v>
      </c>
      <c r="F150" t="s">
        <v>41</v>
      </c>
      <c r="G150" t="s">
        <v>42</v>
      </c>
      <c r="H150">
        <v>1</v>
      </c>
      <c r="I150">
        <v>1</v>
      </c>
      <c r="J150">
        <v>1</v>
      </c>
      <c r="K150">
        <v>1</v>
      </c>
      <c r="L150">
        <v>577.94000000000005</v>
      </c>
      <c r="M150">
        <v>0</v>
      </c>
      <c r="N150">
        <v>0</v>
      </c>
      <c r="O150">
        <v>0</v>
      </c>
      <c r="P150">
        <v>9</v>
      </c>
      <c r="Q150">
        <v>76.599999999999994</v>
      </c>
    </row>
    <row r="151" spans="1:17">
      <c r="A151" t="s">
        <v>197</v>
      </c>
      <c r="B151" s="8">
        <v>45700</v>
      </c>
      <c r="C151" t="s">
        <v>1</v>
      </c>
      <c r="D151" t="s">
        <v>39</v>
      </c>
      <c r="E151" t="s">
        <v>40</v>
      </c>
      <c r="F151" t="s">
        <v>45</v>
      </c>
      <c r="G151" t="s">
        <v>46</v>
      </c>
      <c r="H151">
        <v>0</v>
      </c>
      <c r="I151">
        <v>0</v>
      </c>
      <c r="J151">
        <v>0</v>
      </c>
      <c r="K151">
        <v>0</v>
      </c>
      <c r="L151">
        <v>0</v>
      </c>
      <c r="M151">
        <v>1</v>
      </c>
      <c r="N151">
        <v>1</v>
      </c>
      <c r="O151">
        <v>0</v>
      </c>
      <c r="Q151">
        <v>67.599999999999994</v>
      </c>
    </row>
    <row r="152" spans="1:17">
      <c r="A152" t="s">
        <v>198</v>
      </c>
      <c r="B152" s="8">
        <v>45776</v>
      </c>
      <c r="C152" t="s">
        <v>1</v>
      </c>
      <c r="D152" t="s">
        <v>34</v>
      </c>
      <c r="E152" t="s">
        <v>40</v>
      </c>
      <c r="F152" t="s">
        <v>57</v>
      </c>
      <c r="G152" t="s">
        <v>46</v>
      </c>
      <c r="H152">
        <v>1</v>
      </c>
      <c r="I152">
        <v>0</v>
      </c>
      <c r="J152">
        <v>0</v>
      </c>
      <c r="K152">
        <v>0</v>
      </c>
      <c r="L152">
        <v>0</v>
      </c>
      <c r="M152">
        <v>0</v>
      </c>
      <c r="N152">
        <v>0</v>
      </c>
      <c r="O152">
        <v>0</v>
      </c>
      <c r="Q152">
        <v>43.1</v>
      </c>
    </row>
    <row r="153" spans="1:17">
      <c r="A153" t="s">
        <v>199</v>
      </c>
      <c r="B153" s="8">
        <v>45729</v>
      </c>
      <c r="C153" t="s">
        <v>1</v>
      </c>
      <c r="D153" t="s">
        <v>48</v>
      </c>
      <c r="E153" t="s">
        <v>40</v>
      </c>
      <c r="F153" t="s">
        <v>36</v>
      </c>
      <c r="G153" t="s">
        <v>42</v>
      </c>
      <c r="H153">
        <v>1</v>
      </c>
      <c r="I153">
        <v>0</v>
      </c>
      <c r="J153">
        <v>0</v>
      </c>
      <c r="K153">
        <v>0</v>
      </c>
      <c r="L153">
        <v>0</v>
      </c>
      <c r="M153">
        <v>0</v>
      </c>
      <c r="N153">
        <v>0</v>
      </c>
      <c r="O153">
        <v>0</v>
      </c>
      <c r="Q153">
        <v>58.3</v>
      </c>
    </row>
    <row r="154" spans="1:17">
      <c r="A154" t="s">
        <v>200</v>
      </c>
      <c r="B154" s="8">
        <v>45692</v>
      </c>
      <c r="C154" t="s">
        <v>1</v>
      </c>
      <c r="D154" t="s">
        <v>44</v>
      </c>
      <c r="E154" t="s">
        <v>35</v>
      </c>
      <c r="F154" t="s">
        <v>45</v>
      </c>
      <c r="G154" t="s">
        <v>42</v>
      </c>
      <c r="H154">
        <v>1</v>
      </c>
      <c r="I154">
        <v>0</v>
      </c>
      <c r="J154">
        <v>0</v>
      </c>
      <c r="K154">
        <v>0</v>
      </c>
      <c r="L154">
        <v>0</v>
      </c>
      <c r="M154">
        <v>0</v>
      </c>
      <c r="N154">
        <v>0</v>
      </c>
      <c r="O154">
        <v>0</v>
      </c>
      <c r="Q154">
        <v>69.8</v>
      </c>
    </row>
    <row r="155" spans="1:17">
      <c r="A155" t="s">
        <v>201</v>
      </c>
      <c r="B155" s="8">
        <v>45720</v>
      </c>
      <c r="C155" t="s">
        <v>1</v>
      </c>
      <c r="D155" t="s">
        <v>48</v>
      </c>
      <c r="E155" t="s">
        <v>40</v>
      </c>
      <c r="F155" t="s">
        <v>55</v>
      </c>
      <c r="G155" t="s">
        <v>42</v>
      </c>
      <c r="H155">
        <v>1</v>
      </c>
      <c r="I155">
        <v>1</v>
      </c>
      <c r="J155">
        <v>0</v>
      </c>
      <c r="K155">
        <v>0</v>
      </c>
      <c r="L155">
        <v>0</v>
      </c>
      <c r="M155">
        <v>0</v>
      </c>
      <c r="N155">
        <v>0</v>
      </c>
      <c r="O155">
        <v>0</v>
      </c>
    </row>
    <row r="156" spans="1:17">
      <c r="A156" t="s">
        <v>202</v>
      </c>
      <c r="B156" s="8">
        <v>45692</v>
      </c>
      <c r="C156" t="s">
        <v>1</v>
      </c>
      <c r="D156" t="s">
        <v>39</v>
      </c>
      <c r="E156" t="s">
        <v>40</v>
      </c>
      <c r="F156" t="s">
        <v>45</v>
      </c>
      <c r="G156" t="s">
        <v>37</v>
      </c>
      <c r="H156">
        <v>1</v>
      </c>
      <c r="I156">
        <v>1</v>
      </c>
      <c r="J156">
        <v>0</v>
      </c>
      <c r="K156">
        <v>0</v>
      </c>
      <c r="L156">
        <v>0</v>
      </c>
      <c r="M156">
        <v>0</v>
      </c>
      <c r="N156">
        <v>0</v>
      </c>
      <c r="O156">
        <v>0</v>
      </c>
      <c r="Q156">
        <v>41.9</v>
      </c>
    </row>
    <row r="157" spans="1:17">
      <c r="A157" t="s">
        <v>203</v>
      </c>
      <c r="B157" s="8">
        <v>45727</v>
      </c>
      <c r="C157" t="s">
        <v>1</v>
      </c>
      <c r="D157" t="s">
        <v>34</v>
      </c>
      <c r="E157" t="s">
        <v>35</v>
      </c>
      <c r="F157" t="s">
        <v>41</v>
      </c>
      <c r="G157" t="s">
        <v>42</v>
      </c>
      <c r="H157">
        <v>0</v>
      </c>
      <c r="I157">
        <v>0</v>
      </c>
      <c r="J157">
        <v>0</v>
      </c>
      <c r="K157">
        <v>0</v>
      </c>
      <c r="L157">
        <v>0</v>
      </c>
      <c r="M157">
        <v>0</v>
      </c>
      <c r="N157">
        <v>0</v>
      </c>
      <c r="O157">
        <v>0</v>
      </c>
      <c r="Q157">
        <v>33.1</v>
      </c>
    </row>
    <row r="158" spans="1:17">
      <c r="A158" t="s">
        <v>204</v>
      </c>
      <c r="B158" s="8">
        <v>45769</v>
      </c>
      <c r="C158" t="s">
        <v>1</v>
      </c>
      <c r="D158" t="s">
        <v>39</v>
      </c>
      <c r="E158" t="s">
        <v>40</v>
      </c>
      <c r="F158" t="s">
        <v>41</v>
      </c>
      <c r="G158" t="s">
        <v>42</v>
      </c>
      <c r="H158">
        <v>0</v>
      </c>
      <c r="I158">
        <v>0</v>
      </c>
      <c r="J158">
        <v>0</v>
      </c>
      <c r="K158">
        <v>0</v>
      </c>
      <c r="L158">
        <v>0</v>
      </c>
      <c r="M158">
        <v>0</v>
      </c>
      <c r="N158">
        <v>0</v>
      </c>
      <c r="O158">
        <v>0</v>
      </c>
      <c r="Q158">
        <v>58.6</v>
      </c>
    </row>
    <row r="159" spans="1:17">
      <c r="A159" t="s">
        <v>205</v>
      </c>
      <c r="B159" s="8">
        <v>45724</v>
      </c>
      <c r="C159" t="s">
        <v>1</v>
      </c>
      <c r="D159" t="s">
        <v>34</v>
      </c>
      <c r="E159" t="s">
        <v>35</v>
      </c>
      <c r="F159" t="s">
        <v>45</v>
      </c>
      <c r="G159" t="s">
        <v>42</v>
      </c>
      <c r="H159">
        <v>0</v>
      </c>
      <c r="I159">
        <v>0</v>
      </c>
      <c r="J159">
        <v>0</v>
      </c>
      <c r="K159">
        <v>0</v>
      </c>
      <c r="L159">
        <v>0</v>
      </c>
      <c r="M159">
        <v>0</v>
      </c>
      <c r="N159">
        <v>0</v>
      </c>
      <c r="O159">
        <v>0</v>
      </c>
      <c r="Q159">
        <v>55.7</v>
      </c>
    </row>
    <row r="160" spans="1:17">
      <c r="A160" t="s">
        <v>206</v>
      </c>
      <c r="B160" s="8">
        <v>45726</v>
      </c>
      <c r="C160" t="s">
        <v>1</v>
      </c>
      <c r="D160" t="s">
        <v>44</v>
      </c>
      <c r="E160" t="s">
        <v>40</v>
      </c>
      <c r="F160" t="s">
        <v>41</v>
      </c>
      <c r="G160" t="s">
        <v>42</v>
      </c>
      <c r="H160">
        <v>0</v>
      </c>
      <c r="I160">
        <v>0</v>
      </c>
      <c r="J160">
        <v>0</v>
      </c>
      <c r="K160">
        <v>0</v>
      </c>
      <c r="L160">
        <v>0</v>
      </c>
      <c r="M160">
        <v>2</v>
      </c>
      <c r="N160">
        <v>1</v>
      </c>
      <c r="O160">
        <v>0</v>
      </c>
      <c r="Q160">
        <v>64.900000000000006</v>
      </c>
    </row>
    <row r="161" spans="1:17">
      <c r="A161" t="s">
        <v>207</v>
      </c>
      <c r="B161" s="8">
        <v>45795</v>
      </c>
      <c r="C161" t="s">
        <v>1</v>
      </c>
      <c r="D161" t="s">
        <v>34</v>
      </c>
      <c r="E161" t="s">
        <v>35</v>
      </c>
      <c r="F161" t="s">
        <v>45</v>
      </c>
      <c r="G161" t="s">
        <v>37</v>
      </c>
      <c r="H161">
        <v>0</v>
      </c>
      <c r="I161">
        <v>0</v>
      </c>
      <c r="J161">
        <v>0</v>
      </c>
      <c r="K161">
        <v>0</v>
      </c>
      <c r="L161">
        <v>0</v>
      </c>
      <c r="M161">
        <v>0</v>
      </c>
      <c r="N161">
        <v>0</v>
      </c>
      <c r="O161">
        <v>0</v>
      </c>
      <c r="Q161">
        <v>72.3</v>
      </c>
    </row>
    <row r="162" spans="1:17">
      <c r="A162" t="s">
        <v>208</v>
      </c>
      <c r="B162" s="8">
        <v>45791</v>
      </c>
      <c r="C162" t="s">
        <v>1</v>
      </c>
      <c r="D162" t="s">
        <v>34</v>
      </c>
      <c r="E162" t="s">
        <v>40</v>
      </c>
      <c r="F162" t="s">
        <v>57</v>
      </c>
      <c r="G162" t="s">
        <v>37</v>
      </c>
      <c r="H162">
        <v>0</v>
      </c>
      <c r="I162">
        <v>0</v>
      </c>
      <c r="J162">
        <v>0</v>
      </c>
      <c r="K162">
        <v>0</v>
      </c>
      <c r="L162">
        <v>0</v>
      </c>
      <c r="M162">
        <v>0</v>
      </c>
      <c r="N162">
        <v>0</v>
      </c>
      <c r="O162">
        <v>0</v>
      </c>
      <c r="Q162">
        <v>42.1</v>
      </c>
    </row>
    <row r="163" spans="1:17">
      <c r="A163" t="s">
        <v>209</v>
      </c>
      <c r="B163" s="8">
        <v>45689</v>
      </c>
      <c r="C163" t="s">
        <v>1</v>
      </c>
      <c r="D163" t="s">
        <v>34</v>
      </c>
      <c r="E163" t="s">
        <v>40</v>
      </c>
      <c r="F163" t="s">
        <v>41</v>
      </c>
      <c r="G163" t="s">
        <v>42</v>
      </c>
      <c r="H163">
        <v>0</v>
      </c>
      <c r="I163">
        <v>0</v>
      </c>
      <c r="J163">
        <v>0</v>
      </c>
      <c r="K163">
        <v>0</v>
      </c>
      <c r="L163">
        <v>0</v>
      </c>
      <c r="M163">
        <v>0</v>
      </c>
      <c r="N163">
        <v>0</v>
      </c>
      <c r="O163">
        <v>0</v>
      </c>
    </row>
    <row r="164" spans="1:17">
      <c r="A164" t="s">
        <v>210</v>
      </c>
      <c r="B164" s="8">
        <v>45758</v>
      </c>
      <c r="C164" t="s">
        <v>1</v>
      </c>
      <c r="D164" t="s">
        <v>48</v>
      </c>
      <c r="E164" t="s">
        <v>40</v>
      </c>
      <c r="F164" t="s">
        <v>41</v>
      </c>
      <c r="G164" t="s">
        <v>37</v>
      </c>
      <c r="H164">
        <v>0</v>
      </c>
      <c r="I164">
        <v>0</v>
      </c>
      <c r="J164">
        <v>0</v>
      </c>
      <c r="K164">
        <v>0</v>
      </c>
      <c r="L164">
        <v>0</v>
      </c>
      <c r="M164">
        <v>1</v>
      </c>
      <c r="N164">
        <v>1</v>
      </c>
      <c r="O164">
        <v>0</v>
      </c>
      <c r="Q164">
        <v>64.8</v>
      </c>
    </row>
    <row r="165" spans="1:17">
      <c r="A165" t="s">
        <v>211</v>
      </c>
      <c r="B165" s="8">
        <v>45702</v>
      </c>
      <c r="C165" t="s">
        <v>1</v>
      </c>
      <c r="D165" t="s">
        <v>44</v>
      </c>
      <c r="E165" t="s">
        <v>40</v>
      </c>
      <c r="F165" t="s">
        <v>41</v>
      </c>
      <c r="G165" t="s">
        <v>42</v>
      </c>
      <c r="H165">
        <v>0</v>
      </c>
      <c r="I165">
        <v>0</v>
      </c>
      <c r="J165">
        <v>0</v>
      </c>
      <c r="K165">
        <v>0</v>
      </c>
      <c r="L165">
        <v>0</v>
      </c>
      <c r="M165">
        <v>0</v>
      </c>
      <c r="N165">
        <v>0</v>
      </c>
      <c r="O165">
        <v>0</v>
      </c>
      <c r="Q165">
        <v>72.099999999999994</v>
      </c>
    </row>
    <row r="166" spans="1:17">
      <c r="A166" t="s">
        <v>212</v>
      </c>
      <c r="B166" s="8">
        <v>45796</v>
      </c>
      <c r="C166" t="s">
        <v>1</v>
      </c>
      <c r="D166" t="s">
        <v>44</v>
      </c>
      <c r="E166" t="s">
        <v>40</v>
      </c>
      <c r="F166" t="s">
        <v>57</v>
      </c>
      <c r="G166" t="s">
        <v>42</v>
      </c>
      <c r="H166">
        <v>1</v>
      </c>
      <c r="I166">
        <v>0</v>
      </c>
      <c r="J166">
        <v>0</v>
      </c>
      <c r="K166">
        <v>0</v>
      </c>
      <c r="L166">
        <v>0</v>
      </c>
      <c r="M166">
        <v>0</v>
      </c>
      <c r="N166">
        <v>0</v>
      </c>
      <c r="O166">
        <v>0</v>
      </c>
      <c r="Q166">
        <v>50.6</v>
      </c>
    </row>
    <row r="167" spans="1:17">
      <c r="A167" t="s">
        <v>213</v>
      </c>
      <c r="B167" s="8">
        <v>45773</v>
      </c>
      <c r="C167" t="s">
        <v>1</v>
      </c>
      <c r="D167" t="s">
        <v>34</v>
      </c>
      <c r="E167" t="s">
        <v>35</v>
      </c>
      <c r="F167" t="s">
        <v>45</v>
      </c>
      <c r="G167" t="s">
        <v>37</v>
      </c>
      <c r="H167">
        <v>1</v>
      </c>
      <c r="I167">
        <v>1</v>
      </c>
      <c r="J167">
        <v>1</v>
      </c>
      <c r="K167">
        <v>1</v>
      </c>
      <c r="L167">
        <v>1281.25</v>
      </c>
      <c r="M167">
        <v>1</v>
      </c>
      <c r="N167">
        <v>1</v>
      </c>
      <c r="O167">
        <v>0</v>
      </c>
      <c r="P167">
        <v>9</v>
      </c>
      <c r="Q167">
        <v>43.4</v>
      </c>
    </row>
    <row r="168" spans="1:17">
      <c r="A168" t="s">
        <v>214</v>
      </c>
      <c r="B168" s="8">
        <v>45753</v>
      </c>
      <c r="C168" t="s">
        <v>1</v>
      </c>
      <c r="D168" t="s">
        <v>48</v>
      </c>
      <c r="E168" t="s">
        <v>40</v>
      </c>
      <c r="F168" t="s">
        <v>57</v>
      </c>
      <c r="G168" t="s">
        <v>42</v>
      </c>
      <c r="H168">
        <v>1</v>
      </c>
      <c r="I168">
        <v>0</v>
      </c>
      <c r="J168">
        <v>0</v>
      </c>
      <c r="K168">
        <v>0</v>
      </c>
      <c r="L168">
        <v>0</v>
      </c>
      <c r="M168">
        <v>0</v>
      </c>
      <c r="N168">
        <v>0</v>
      </c>
      <c r="O168">
        <v>0</v>
      </c>
      <c r="Q168">
        <v>59.7</v>
      </c>
    </row>
    <row r="169" spans="1:17">
      <c r="A169" t="s">
        <v>215</v>
      </c>
      <c r="B169" s="8">
        <v>45722</v>
      </c>
      <c r="C169" t="s">
        <v>1</v>
      </c>
      <c r="D169" t="s">
        <v>48</v>
      </c>
      <c r="E169" t="s">
        <v>40</v>
      </c>
      <c r="F169" t="s">
        <v>45</v>
      </c>
      <c r="G169" t="s">
        <v>42</v>
      </c>
      <c r="H169">
        <v>1</v>
      </c>
      <c r="I169">
        <v>0</v>
      </c>
      <c r="J169">
        <v>0</v>
      </c>
      <c r="K169">
        <v>0</v>
      </c>
      <c r="L169">
        <v>0</v>
      </c>
      <c r="M169">
        <v>1</v>
      </c>
      <c r="N169">
        <v>1</v>
      </c>
      <c r="O169">
        <v>0</v>
      </c>
    </row>
    <row r="170" spans="1:17">
      <c r="A170" t="s">
        <v>216</v>
      </c>
      <c r="B170" s="8">
        <v>45726</v>
      </c>
      <c r="C170" t="s">
        <v>1</v>
      </c>
      <c r="D170" t="s">
        <v>39</v>
      </c>
      <c r="E170" t="s">
        <v>40</v>
      </c>
      <c r="F170" t="s">
        <v>57</v>
      </c>
      <c r="G170" t="s">
        <v>37</v>
      </c>
      <c r="H170">
        <v>0</v>
      </c>
      <c r="I170">
        <v>0</v>
      </c>
      <c r="J170">
        <v>0</v>
      </c>
      <c r="K170">
        <v>0</v>
      </c>
      <c r="L170">
        <v>0</v>
      </c>
      <c r="M170">
        <v>0</v>
      </c>
      <c r="N170">
        <v>0</v>
      </c>
      <c r="O170">
        <v>0</v>
      </c>
      <c r="Q170">
        <v>54.5</v>
      </c>
    </row>
    <row r="171" spans="1:17">
      <c r="A171" t="s">
        <v>217</v>
      </c>
      <c r="B171" s="8">
        <v>45746</v>
      </c>
      <c r="C171" t="s">
        <v>1</v>
      </c>
      <c r="D171" t="s">
        <v>34</v>
      </c>
      <c r="E171" t="s">
        <v>40</v>
      </c>
      <c r="F171" t="s">
        <v>41</v>
      </c>
      <c r="G171" t="s">
        <v>42</v>
      </c>
      <c r="H171">
        <v>1</v>
      </c>
      <c r="I171">
        <v>0</v>
      </c>
      <c r="J171">
        <v>0</v>
      </c>
      <c r="K171">
        <v>0</v>
      </c>
      <c r="L171">
        <v>0</v>
      </c>
      <c r="M171">
        <v>0</v>
      </c>
      <c r="N171">
        <v>0</v>
      </c>
      <c r="O171">
        <v>0</v>
      </c>
      <c r="Q171">
        <v>71.099999999999994</v>
      </c>
    </row>
    <row r="172" spans="1:17">
      <c r="A172" t="s">
        <v>218</v>
      </c>
      <c r="B172" s="8">
        <v>45806</v>
      </c>
      <c r="C172" t="s">
        <v>1</v>
      </c>
      <c r="D172" t="s">
        <v>44</v>
      </c>
      <c r="F172" t="s">
        <v>45</v>
      </c>
      <c r="G172" t="s">
        <v>42</v>
      </c>
      <c r="H172">
        <v>1</v>
      </c>
      <c r="I172">
        <v>1</v>
      </c>
      <c r="J172">
        <v>1</v>
      </c>
      <c r="K172">
        <v>0</v>
      </c>
      <c r="L172">
        <v>0</v>
      </c>
      <c r="M172">
        <v>0</v>
      </c>
      <c r="N172">
        <v>0</v>
      </c>
      <c r="O172">
        <v>0</v>
      </c>
      <c r="Q172">
        <v>44.4</v>
      </c>
    </row>
    <row r="173" spans="1:17">
      <c r="A173" t="s">
        <v>219</v>
      </c>
      <c r="B173" s="8">
        <v>45739</v>
      </c>
      <c r="C173" t="s">
        <v>1</v>
      </c>
      <c r="D173" t="s">
        <v>34</v>
      </c>
      <c r="E173" t="s">
        <v>40</v>
      </c>
      <c r="F173" t="s">
        <v>41</v>
      </c>
      <c r="G173" t="s">
        <v>42</v>
      </c>
      <c r="H173">
        <v>1</v>
      </c>
      <c r="I173">
        <v>0</v>
      </c>
      <c r="J173">
        <v>0</v>
      </c>
      <c r="K173">
        <v>0</v>
      </c>
      <c r="L173">
        <v>0</v>
      </c>
      <c r="M173">
        <v>0</v>
      </c>
      <c r="N173">
        <v>0</v>
      </c>
      <c r="O173">
        <v>0</v>
      </c>
      <c r="Q173">
        <v>61.7</v>
      </c>
    </row>
    <row r="174" spans="1:17">
      <c r="A174" t="s">
        <v>220</v>
      </c>
      <c r="B174" s="8">
        <v>45706</v>
      </c>
      <c r="C174" t="s">
        <v>1</v>
      </c>
      <c r="D174" t="s">
        <v>34</v>
      </c>
      <c r="E174" t="s">
        <v>50</v>
      </c>
      <c r="F174" t="s">
        <v>41</v>
      </c>
      <c r="G174" t="s">
        <v>37</v>
      </c>
      <c r="H174">
        <v>0</v>
      </c>
      <c r="I174">
        <v>0</v>
      </c>
      <c r="J174">
        <v>0</v>
      </c>
      <c r="K174">
        <v>0</v>
      </c>
      <c r="L174">
        <v>0</v>
      </c>
      <c r="M174">
        <v>1</v>
      </c>
      <c r="N174">
        <v>1</v>
      </c>
      <c r="O174">
        <v>0</v>
      </c>
      <c r="Q174">
        <v>81.3</v>
      </c>
    </row>
    <row r="175" spans="1:17">
      <c r="A175" t="s">
        <v>221</v>
      </c>
      <c r="B175" s="8">
        <v>45683</v>
      </c>
      <c r="C175" t="s">
        <v>1</v>
      </c>
      <c r="D175" t="s">
        <v>34</v>
      </c>
      <c r="E175" t="s">
        <v>35</v>
      </c>
      <c r="F175" t="s">
        <v>36</v>
      </c>
      <c r="G175" t="s">
        <v>42</v>
      </c>
      <c r="H175">
        <v>1</v>
      </c>
      <c r="I175">
        <v>0</v>
      </c>
      <c r="J175">
        <v>0</v>
      </c>
      <c r="K175">
        <v>0</v>
      </c>
      <c r="L175">
        <v>0</v>
      </c>
      <c r="M175">
        <v>2</v>
      </c>
      <c r="N175">
        <v>1</v>
      </c>
      <c r="O175">
        <v>0</v>
      </c>
      <c r="Q175">
        <v>28.7</v>
      </c>
    </row>
    <row r="176" spans="1:17">
      <c r="A176" t="s">
        <v>222</v>
      </c>
      <c r="B176" s="8">
        <v>45770</v>
      </c>
      <c r="C176" t="s">
        <v>1</v>
      </c>
      <c r="D176" t="s">
        <v>44</v>
      </c>
      <c r="E176" t="s">
        <v>40</v>
      </c>
      <c r="F176" t="s">
        <v>57</v>
      </c>
      <c r="G176" t="s">
        <v>37</v>
      </c>
      <c r="H176">
        <v>0</v>
      </c>
      <c r="I176">
        <v>0</v>
      </c>
      <c r="J176">
        <v>0</v>
      </c>
      <c r="K176">
        <v>0</v>
      </c>
      <c r="L176">
        <v>0</v>
      </c>
      <c r="M176">
        <v>0</v>
      </c>
      <c r="N176">
        <v>0</v>
      </c>
      <c r="O176">
        <v>0</v>
      </c>
      <c r="Q176">
        <v>53</v>
      </c>
    </row>
    <row r="177" spans="1:17">
      <c r="A177" t="s">
        <v>223</v>
      </c>
      <c r="B177" s="8">
        <v>45732</v>
      </c>
      <c r="C177" t="s">
        <v>1</v>
      </c>
      <c r="D177" t="s">
        <v>48</v>
      </c>
      <c r="E177" t="s">
        <v>50</v>
      </c>
      <c r="F177" t="s">
        <v>55</v>
      </c>
      <c r="G177" t="s">
        <v>37</v>
      </c>
      <c r="H177">
        <v>1</v>
      </c>
      <c r="I177">
        <v>0</v>
      </c>
      <c r="J177">
        <v>0</v>
      </c>
      <c r="K177">
        <v>0</v>
      </c>
      <c r="L177">
        <v>0</v>
      </c>
      <c r="M177">
        <v>0</v>
      </c>
      <c r="N177">
        <v>0</v>
      </c>
      <c r="O177">
        <v>0</v>
      </c>
      <c r="Q177">
        <v>54.9</v>
      </c>
    </row>
    <row r="178" spans="1:17">
      <c r="A178" t="s">
        <v>224</v>
      </c>
      <c r="B178" s="8">
        <v>45776</v>
      </c>
      <c r="C178" t="s">
        <v>1</v>
      </c>
      <c r="D178" t="s">
        <v>39</v>
      </c>
      <c r="E178" t="s">
        <v>40</v>
      </c>
      <c r="F178" t="s">
        <v>41</v>
      </c>
      <c r="G178" t="s">
        <v>37</v>
      </c>
      <c r="H178">
        <v>1</v>
      </c>
      <c r="I178">
        <v>0</v>
      </c>
      <c r="J178">
        <v>0</v>
      </c>
      <c r="K178">
        <v>0</v>
      </c>
      <c r="L178">
        <v>0</v>
      </c>
      <c r="M178">
        <v>0</v>
      </c>
      <c r="N178">
        <v>0</v>
      </c>
      <c r="O178">
        <v>0</v>
      </c>
      <c r="Q178">
        <v>58.2</v>
      </c>
    </row>
    <row r="179" spans="1:17">
      <c r="A179" t="s">
        <v>225</v>
      </c>
      <c r="B179" s="8">
        <v>45753</v>
      </c>
      <c r="C179" t="s">
        <v>1</v>
      </c>
      <c r="D179" t="s">
        <v>34</v>
      </c>
      <c r="E179" t="s">
        <v>40</v>
      </c>
      <c r="F179" t="s">
        <v>41</v>
      </c>
      <c r="G179" t="s">
        <v>42</v>
      </c>
      <c r="H179">
        <v>0</v>
      </c>
      <c r="I179">
        <v>0</v>
      </c>
      <c r="J179">
        <v>0</v>
      </c>
      <c r="K179">
        <v>0</v>
      </c>
      <c r="L179">
        <v>0</v>
      </c>
      <c r="M179">
        <v>0</v>
      </c>
      <c r="N179">
        <v>0</v>
      </c>
      <c r="O179">
        <v>0</v>
      </c>
      <c r="Q179">
        <v>80.599999999999994</v>
      </c>
    </row>
    <row r="180" spans="1:17">
      <c r="A180" t="s">
        <v>226</v>
      </c>
      <c r="B180" s="8">
        <v>45764</v>
      </c>
      <c r="C180" t="s">
        <v>1</v>
      </c>
      <c r="D180" t="s">
        <v>34</v>
      </c>
      <c r="E180" t="s">
        <v>35</v>
      </c>
      <c r="F180" t="s">
        <v>55</v>
      </c>
      <c r="G180" t="s">
        <v>46</v>
      </c>
      <c r="H180">
        <v>1</v>
      </c>
      <c r="I180">
        <v>1</v>
      </c>
      <c r="J180">
        <v>1</v>
      </c>
      <c r="K180">
        <v>0</v>
      </c>
      <c r="L180">
        <v>0</v>
      </c>
      <c r="M180">
        <v>0</v>
      </c>
      <c r="N180">
        <v>0</v>
      </c>
      <c r="O180">
        <v>0</v>
      </c>
      <c r="Q180">
        <v>38.4</v>
      </c>
    </row>
    <row r="181" spans="1:17">
      <c r="A181" t="s">
        <v>227</v>
      </c>
      <c r="B181" s="8">
        <v>45750</v>
      </c>
      <c r="C181" t="s">
        <v>1</v>
      </c>
      <c r="D181" t="s">
        <v>48</v>
      </c>
      <c r="E181" t="s">
        <v>40</v>
      </c>
      <c r="F181" t="s">
        <v>45</v>
      </c>
      <c r="G181" t="s">
        <v>42</v>
      </c>
      <c r="H181">
        <v>1</v>
      </c>
      <c r="I181">
        <v>0</v>
      </c>
      <c r="J181">
        <v>0</v>
      </c>
      <c r="K181">
        <v>0</v>
      </c>
      <c r="L181">
        <v>0</v>
      </c>
      <c r="M181">
        <v>0</v>
      </c>
      <c r="N181">
        <v>0</v>
      </c>
      <c r="O181">
        <v>0</v>
      </c>
      <c r="Q181">
        <v>56.1</v>
      </c>
    </row>
    <row r="182" spans="1:17">
      <c r="A182" t="s">
        <v>228</v>
      </c>
      <c r="B182" s="8">
        <v>45772</v>
      </c>
      <c r="C182" t="s">
        <v>1</v>
      </c>
      <c r="D182" t="s">
        <v>39</v>
      </c>
      <c r="E182" t="s">
        <v>40</v>
      </c>
      <c r="F182" t="s">
        <v>45</v>
      </c>
      <c r="G182" t="s">
        <v>42</v>
      </c>
      <c r="H182">
        <v>0</v>
      </c>
      <c r="I182">
        <v>0</v>
      </c>
      <c r="J182">
        <v>0</v>
      </c>
      <c r="K182">
        <v>0</v>
      </c>
      <c r="L182">
        <v>0</v>
      </c>
      <c r="M182">
        <v>0</v>
      </c>
      <c r="N182">
        <v>0</v>
      </c>
      <c r="O182">
        <v>0</v>
      </c>
      <c r="Q182">
        <v>62.6</v>
      </c>
    </row>
    <row r="183" spans="1:17">
      <c r="A183" t="s">
        <v>229</v>
      </c>
      <c r="B183" s="8">
        <v>45777</v>
      </c>
      <c r="C183" t="s">
        <v>1</v>
      </c>
      <c r="D183" t="s">
        <v>48</v>
      </c>
      <c r="E183" t="s">
        <v>40</v>
      </c>
      <c r="F183" t="s">
        <v>41</v>
      </c>
      <c r="G183" t="s">
        <v>46</v>
      </c>
      <c r="H183">
        <v>0</v>
      </c>
      <c r="I183">
        <v>0</v>
      </c>
      <c r="J183">
        <v>0</v>
      </c>
      <c r="K183">
        <v>0</v>
      </c>
      <c r="L183">
        <v>0</v>
      </c>
      <c r="M183">
        <v>0</v>
      </c>
      <c r="N183">
        <v>0</v>
      </c>
      <c r="O183">
        <v>0</v>
      </c>
      <c r="Q183">
        <v>36.299999999999997</v>
      </c>
    </row>
    <row r="184" spans="1:17">
      <c r="A184" t="s">
        <v>230</v>
      </c>
      <c r="B184" s="8">
        <v>45728</v>
      </c>
      <c r="C184" t="s">
        <v>1</v>
      </c>
      <c r="D184" t="s">
        <v>48</v>
      </c>
      <c r="E184" t="s">
        <v>40</v>
      </c>
      <c r="F184" t="s">
        <v>45</v>
      </c>
      <c r="G184" t="s">
        <v>42</v>
      </c>
      <c r="H184">
        <v>1</v>
      </c>
      <c r="I184">
        <v>0</v>
      </c>
      <c r="J184">
        <v>0</v>
      </c>
      <c r="K184">
        <v>0</v>
      </c>
      <c r="L184">
        <v>0</v>
      </c>
      <c r="M184">
        <v>0</v>
      </c>
      <c r="N184">
        <v>0</v>
      </c>
      <c r="O184">
        <v>0</v>
      </c>
      <c r="Q184">
        <v>52.1</v>
      </c>
    </row>
    <row r="185" spans="1:17">
      <c r="A185" t="s">
        <v>231</v>
      </c>
      <c r="B185" s="8">
        <v>45781</v>
      </c>
      <c r="C185" t="s">
        <v>1</v>
      </c>
      <c r="D185" t="s">
        <v>48</v>
      </c>
      <c r="E185" t="s">
        <v>40</v>
      </c>
      <c r="F185" t="s">
        <v>41</v>
      </c>
      <c r="G185" t="s">
        <v>42</v>
      </c>
      <c r="H185">
        <v>1</v>
      </c>
      <c r="I185">
        <v>0</v>
      </c>
      <c r="J185">
        <v>0</v>
      </c>
      <c r="K185">
        <v>0</v>
      </c>
      <c r="L185">
        <v>0</v>
      </c>
      <c r="M185">
        <v>0</v>
      </c>
      <c r="N185">
        <v>0</v>
      </c>
      <c r="O185">
        <v>0</v>
      </c>
      <c r="Q185">
        <v>45.1</v>
      </c>
    </row>
    <row r="186" spans="1:17">
      <c r="A186" t="s">
        <v>232</v>
      </c>
      <c r="B186" s="8">
        <v>45695</v>
      </c>
      <c r="C186" t="s">
        <v>1</v>
      </c>
      <c r="D186" t="s">
        <v>48</v>
      </c>
      <c r="E186" t="s">
        <v>50</v>
      </c>
      <c r="F186" t="s">
        <v>45</v>
      </c>
      <c r="G186" t="s">
        <v>46</v>
      </c>
      <c r="H186">
        <v>0</v>
      </c>
      <c r="I186">
        <v>0</v>
      </c>
      <c r="J186">
        <v>0</v>
      </c>
      <c r="K186">
        <v>0</v>
      </c>
      <c r="L186">
        <v>0</v>
      </c>
      <c r="M186">
        <v>0</v>
      </c>
      <c r="N186">
        <v>0</v>
      </c>
      <c r="O186">
        <v>0</v>
      </c>
      <c r="Q186">
        <v>67.5</v>
      </c>
    </row>
    <row r="187" spans="1:17">
      <c r="A187" t="s">
        <v>233</v>
      </c>
      <c r="B187" s="8">
        <v>45775</v>
      </c>
      <c r="C187" t="s">
        <v>1</v>
      </c>
      <c r="D187" t="s">
        <v>44</v>
      </c>
      <c r="E187" t="s">
        <v>50</v>
      </c>
      <c r="F187" t="s">
        <v>36</v>
      </c>
      <c r="G187" t="s">
        <v>37</v>
      </c>
      <c r="H187">
        <v>1</v>
      </c>
      <c r="I187">
        <v>1</v>
      </c>
      <c r="J187">
        <v>1</v>
      </c>
      <c r="K187">
        <v>0</v>
      </c>
      <c r="L187">
        <v>0</v>
      </c>
      <c r="M187">
        <v>0</v>
      </c>
      <c r="N187">
        <v>0</v>
      </c>
      <c r="O187">
        <v>0</v>
      </c>
      <c r="Q187">
        <v>80</v>
      </c>
    </row>
    <row r="188" spans="1:17">
      <c r="A188" t="s">
        <v>234</v>
      </c>
      <c r="B188" s="8">
        <v>45792</v>
      </c>
      <c r="C188" t="s">
        <v>1</v>
      </c>
      <c r="D188" t="s">
        <v>44</v>
      </c>
      <c r="E188" t="s">
        <v>35</v>
      </c>
      <c r="F188" t="s">
        <v>55</v>
      </c>
      <c r="G188" t="s">
        <v>42</v>
      </c>
      <c r="H188">
        <v>0</v>
      </c>
      <c r="I188">
        <v>0</v>
      </c>
      <c r="J188">
        <v>0</v>
      </c>
      <c r="K188">
        <v>0</v>
      </c>
      <c r="L188">
        <v>0</v>
      </c>
      <c r="M188">
        <v>0</v>
      </c>
      <c r="N188">
        <v>0</v>
      </c>
      <c r="O188">
        <v>0</v>
      </c>
      <c r="Q188">
        <v>56.4</v>
      </c>
    </row>
    <row r="189" spans="1:17">
      <c r="A189" t="s">
        <v>235</v>
      </c>
      <c r="B189" s="8">
        <v>45675</v>
      </c>
      <c r="C189" t="s">
        <v>1</v>
      </c>
      <c r="D189" t="s">
        <v>39</v>
      </c>
      <c r="E189" t="s">
        <v>40</v>
      </c>
      <c r="F189" t="s">
        <v>45</v>
      </c>
      <c r="G189" t="s">
        <v>37</v>
      </c>
      <c r="H189">
        <v>0</v>
      </c>
      <c r="I189">
        <v>0</v>
      </c>
      <c r="J189">
        <v>0</v>
      </c>
      <c r="K189">
        <v>0</v>
      </c>
      <c r="L189">
        <v>0</v>
      </c>
      <c r="M189">
        <v>0</v>
      </c>
      <c r="N189">
        <v>0</v>
      </c>
      <c r="O189">
        <v>0</v>
      </c>
      <c r="Q189">
        <v>55.4</v>
      </c>
    </row>
    <row r="190" spans="1:17">
      <c r="A190" t="s">
        <v>236</v>
      </c>
      <c r="B190" s="8">
        <v>45703</v>
      </c>
      <c r="C190" t="s">
        <v>1</v>
      </c>
      <c r="D190" t="s">
        <v>48</v>
      </c>
      <c r="E190" t="s">
        <v>40</v>
      </c>
      <c r="F190" t="s">
        <v>57</v>
      </c>
      <c r="G190" t="s">
        <v>37</v>
      </c>
      <c r="H190">
        <v>1</v>
      </c>
      <c r="I190">
        <v>0</v>
      </c>
      <c r="J190">
        <v>0</v>
      </c>
      <c r="K190">
        <v>0</v>
      </c>
      <c r="L190">
        <v>0</v>
      </c>
      <c r="M190">
        <v>0</v>
      </c>
      <c r="N190">
        <v>0</v>
      </c>
      <c r="O190">
        <v>0</v>
      </c>
      <c r="Q190">
        <v>67.900000000000006</v>
      </c>
    </row>
    <row r="191" spans="1:17">
      <c r="A191" t="s">
        <v>237</v>
      </c>
      <c r="B191" s="8">
        <v>45706</v>
      </c>
      <c r="C191" t="s">
        <v>1</v>
      </c>
      <c r="D191" t="s">
        <v>34</v>
      </c>
      <c r="E191" t="s">
        <v>50</v>
      </c>
      <c r="F191" t="s">
        <v>36</v>
      </c>
      <c r="G191" t="s">
        <v>42</v>
      </c>
      <c r="H191">
        <v>1</v>
      </c>
      <c r="I191">
        <v>0</v>
      </c>
      <c r="J191">
        <v>0</v>
      </c>
      <c r="K191">
        <v>0</v>
      </c>
      <c r="L191">
        <v>0</v>
      </c>
      <c r="M191">
        <v>0</v>
      </c>
      <c r="N191">
        <v>0</v>
      </c>
      <c r="O191">
        <v>0</v>
      </c>
      <c r="Q191">
        <v>62.5</v>
      </c>
    </row>
    <row r="192" spans="1:17">
      <c r="A192" t="s">
        <v>238</v>
      </c>
      <c r="B192" s="8">
        <v>45687</v>
      </c>
      <c r="C192" t="s">
        <v>1</v>
      </c>
      <c r="D192" t="s">
        <v>48</v>
      </c>
      <c r="E192" t="s">
        <v>35</v>
      </c>
      <c r="F192" t="s">
        <v>36</v>
      </c>
      <c r="G192" t="s">
        <v>37</v>
      </c>
      <c r="H192">
        <v>1</v>
      </c>
      <c r="I192">
        <v>1</v>
      </c>
      <c r="J192">
        <v>1</v>
      </c>
      <c r="K192">
        <v>0</v>
      </c>
      <c r="L192">
        <v>0</v>
      </c>
      <c r="M192">
        <v>0</v>
      </c>
      <c r="N192">
        <v>0</v>
      </c>
      <c r="O192">
        <v>0</v>
      </c>
      <c r="Q192">
        <v>54.3</v>
      </c>
    </row>
    <row r="193" spans="1:17">
      <c r="A193" t="s">
        <v>239</v>
      </c>
      <c r="B193" s="8">
        <v>45697</v>
      </c>
      <c r="C193" t="s">
        <v>1</v>
      </c>
      <c r="D193" t="s">
        <v>48</v>
      </c>
      <c r="E193" t="s">
        <v>35</v>
      </c>
      <c r="F193" t="s">
        <v>41</v>
      </c>
      <c r="G193" t="s">
        <v>37</v>
      </c>
      <c r="H193">
        <v>1</v>
      </c>
      <c r="I193">
        <v>0</v>
      </c>
      <c r="J193">
        <v>0</v>
      </c>
      <c r="K193">
        <v>0</v>
      </c>
      <c r="L193">
        <v>0</v>
      </c>
      <c r="M193">
        <v>0</v>
      </c>
      <c r="N193">
        <v>0</v>
      </c>
      <c r="O193">
        <v>0</v>
      </c>
      <c r="Q193">
        <v>37.5</v>
      </c>
    </row>
    <row r="194" spans="1:17">
      <c r="A194" t="s">
        <v>240</v>
      </c>
      <c r="B194" s="8">
        <v>45732</v>
      </c>
      <c r="C194" t="s">
        <v>1</v>
      </c>
      <c r="D194" t="s">
        <v>39</v>
      </c>
      <c r="E194" t="s">
        <v>40</v>
      </c>
      <c r="F194" t="s">
        <v>45</v>
      </c>
      <c r="G194" t="s">
        <v>37</v>
      </c>
      <c r="H194">
        <v>1</v>
      </c>
      <c r="I194">
        <v>0</v>
      </c>
      <c r="J194">
        <v>0</v>
      </c>
      <c r="K194">
        <v>0</v>
      </c>
      <c r="L194">
        <v>0</v>
      </c>
      <c r="M194">
        <v>0</v>
      </c>
      <c r="N194">
        <v>0</v>
      </c>
      <c r="O194">
        <v>0</v>
      </c>
      <c r="Q194">
        <v>52.6</v>
      </c>
    </row>
    <row r="195" spans="1:17">
      <c r="A195" t="s">
        <v>241</v>
      </c>
      <c r="B195" s="8">
        <v>45796</v>
      </c>
      <c r="C195" t="s">
        <v>1</v>
      </c>
      <c r="D195" t="s">
        <v>34</v>
      </c>
      <c r="E195" t="s">
        <v>40</v>
      </c>
      <c r="F195" t="s">
        <v>45</v>
      </c>
      <c r="G195" t="s">
        <v>42</v>
      </c>
      <c r="H195">
        <v>1</v>
      </c>
      <c r="I195">
        <v>0</v>
      </c>
      <c r="J195">
        <v>0</v>
      </c>
      <c r="K195">
        <v>0</v>
      </c>
      <c r="L195">
        <v>0</v>
      </c>
      <c r="M195">
        <v>0</v>
      </c>
      <c r="N195">
        <v>0</v>
      </c>
      <c r="O195">
        <v>0</v>
      </c>
      <c r="Q195">
        <v>46.1</v>
      </c>
    </row>
    <row r="196" spans="1:17">
      <c r="A196" t="s">
        <v>242</v>
      </c>
      <c r="B196" s="8">
        <v>45793</v>
      </c>
      <c r="C196" t="s">
        <v>1</v>
      </c>
      <c r="D196" t="s">
        <v>48</v>
      </c>
      <c r="E196" t="s">
        <v>35</v>
      </c>
      <c r="F196" t="s">
        <v>41</v>
      </c>
      <c r="G196" t="s">
        <v>37</v>
      </c>
      <c r="H196">
        <v>1</v>
      </c>
      <c r="I196">
        <v>0</v>
      </c>
      <c r="J196">
        <v>0</v>
      </c>
      <c r="K196">
        <v>0</v>
      </c>
      <c r="L196">
        <v>0</v>
      </c>
      <c r="M196">
        <v>0</v>
      </c>
      <c r="N196">
        <v>0</v>
      </c>
      <c r="O196">
        <v>0</v>
      </c>
      <c r="Q196">
        <v>54.7</v>
      </c>
    </row>
    <row r="197" spans="1:17">
      <c r="A197" t="s">
        <v>243</v>
      </c>
      <c r="B197" s="8">
        <v>45772</v>
      </c>
      <c r="C197" t="s">
        <v>1</v>
      </c>
      <c r="D197" t="s">
        <v>39</v>
      </c>
      <c r="E197" t="s">
        <v>35</v>
      </c>
      <c r="F197" t="s">
        <v>55</v>
      </c>
      <c r="G197" t="s">
        <v>37</v>
      </c>
      <c r="H197">
        <v>0</v>
      </c>
      <c r="I197">
        <v>0</v>
      </c>
      <c r="J197">
        <v>0</v>
      </c>
      <c r="K197">
        <v>0</v>
      </c>
      <c r="L197">
        <v>0</v>
      </c>
      <c r="M197">
        <v>0</v>
      </c>
      <c r="N197">
        <v>0</v>
      </c>
      <c r="O197">
        <v>0</v>
      </c>
      <c r="Q197">
        <v>74.2</v>
      </c>
    </row>
    <row r="198" spans="1:17">
      <c r="A198" t="s">
        <v>244</v>
      </c>
      <c r="B198" s="8">
        <v>45715</v>
      </c>
      <c r="C198" t="s">
        <v>1</v>
      </c>
      <c r="D198" t="s">
        <v>34</v>
      </c>
      <c r="E198" t="s">
        <v>40</v>
      </c>
      <c r="F198" t="s">
        <v>57</v>
      </c>
      <c r="G198" t="s">
        <v>37</v>
      </c>
      <c r="H198">
        <v>1</v>
      </c>
      <c r="I198">
        <v>1</v>
      </c>
      <c r="J198">
        <v>1</v>
      </c>
      <c r="K198">
        <v>1</v>
      </c>
      <c r="L198">
        <v>1052.8</v>
      </c>
      <c r="M198">
        <v>2</v>
      </c>
      <c r="N198">
        <v>1</v>
      </c>
      <c r="O198">
        <v>0</v>
      </c>
      <c r="P198">
        <v>6</v>
      </c>
      <c r="Q198">
        <v>64.7</v>
      </c>
    </row>
    <row r="199" spans="1:17">
      <c r="A199" t="s">
        <v>245</v>
      </c>
      <c r="B199" s="8">
        <v>45773</v>
      </c>
      <c r="C199" t="s">
        <v>1</v>
      </c>
      <c r="D199" t="s">
        <v>48</v>
      </c>
      <c r="E199" t="s">
        <v>40</v>
      </c>
      <c r="F199" t="s">
        <v>45</v>
      </c>
      <c r="G199" t="s">
        <v>37</v>
      </c>
      <c r="H199">
        <v>0</v>
      </c>
      <c r="I199">
        <v>0</v>
      </c>
      <c r="J199">
        <v>0</v>
      </c>
      <c r="K199">
        <v>0</v>
      </c>
      <c r="L199">
        <v>0</v>
      </c>
      <c r="M199">
        <v>0</v>
      </c>
      <c r="N199">
        <v>0</v>
      </c>
      <c r="O199">
        <v>0</v>
      </c>
      <c r="Q199">
        <v>65.900000000000006</v>
      </c>
    </row>
    <row r="200" spans="1:17">
      <c r="A200" t="s">
        <v>246</v>
      </c>
      <c r="B200" s="8">
        <v>45791</v>
      </c>
      <c r="C200" t="s">
        <v>1</v>
      </c>
      <c r="D200" t="s">
        <v>34</v>
      </c>
      <c r="E200" t="s">
        <v>40</v>
      </c>
      <c r="F200" t="s">
        <v>41</v>
      </c>
      <c r="G200" t="s">
        <v>37</v>
      </c>
      <c r="H200">
        <v>1</v>
      </c>
      <c r="I200">
        <v>0</v>
      </c>
      <c r="J200">
        <v>0</v>
      </c>
      <c r="K200">
        <v>0</v>
      </c>
      <c r="L200">
        <v>0</v>
      </c>
      <c r="M200">
        <v>0</v>
      </c>
      <c r="N200">
        <v>0</v>
      </c>
      <c r="O200">
        <v>0</v>
      </c>
      <c r="Q200">
        <v>64</v>
      </c>
    </row>
    <row r="201" spans="1:17">
      <c r="A201" t="s">
        <v>247</v>
      </c>
      <c r="B201" s="8">
        <v>45721</v>
      </c>
      <c r="C201" t="s">
        <v>1</v>
      </c>
      <c r="D201" t="s">
        <v>34</v>
      </c>
      <c r="E201" t="s">
        <v>40</v>
      </c>
      <c r="F201" t="s">
        <v>41</v>
      </c>
      <c r="G201" t="s">
        <v>46</v>
      </c>
      <c r="H201">
        <v>1</v>
      </c>
      <c r="I201">
        <v>0</v>
      </c>
      <c r="J201">
        <v>0</v>
      </c>
      <c r="K201">
        <v>0</v>
      </c>
      <c r="L201">
        <v>0</v>
      </c>
      <c r="M201">
        <v>0</v>
      </c>
      <c r="N201">
        <v>0</v>
      </c>
      <c r="O201">
        <v>0</v>
      </c>
      <c r="Q201">
        <v>57.2</v>
      </c>
    </row>
    <row r="202" spans="1:17">
      <c r="A202" t="s">
        <v>248</v>
      </c>
      <c r="B202" s="8">
        <v>45749</v>
      </c>
      <c r="C202" t="s">
        <v>1</v>
      </c>
      <c r="D202" t="s">
        <v>39</v>
      </c>
      <c r="E202" t="s">
        <v>35</v>
      </c>
      <c r="F202" t="s">
        <v>41</v>
      </c>
      <c r="G202" t="s">
        <v>42</v>
      </c>
      <c r="H202">
        <v>1</v>
      </c>
      <c r="I202">
        <v>0</v>
      </c>
      <c r="J202">
        <v>0</v>
      </c>
      <c r="K202">
        <v>0</v>
      </c>
      <c r="L202">
        <v>0</v>
      </c>
      <c r="M202">
        <v>0</v>
      </c>
      <c r="N202">
        <v>0</v>
      </c>
      <c r="O202">
        <v>0</v>
      </c>
      <c r="Q202">
        <v>80.5</v>
      </c>
    </row>
    <row r="203" spans="1:17">
      <c r="A203" t="s">
        <v>249</v>
      </c>
      <c r="B203" s="8">
        <v>45791</v>
      </c>
      <c r="C203" t="s">
        <v>1</v>
      </c>
      <c r="D203" t="s">
        <v>48</v>
      </c>
      <c r="E203" t="s">
        <v>50</v>
      </c>
      <c r="F203" t="s">
        <v>41</v>
      </c>
      <c r="G203" t="s">
        <v>42</v>
      </c>
      <c r="H203">
        <v>0</v>
      </c>
      <c r="I203">
        <v>0</v>
      </c>
      <c r="J203">
        <v>0</v>
      </c>
      <c r="K203">
        <v>0</v>
      </c>
      <c r="L203">
        <v>0</v>
      </c>
      <c r="M203">
        <v>0</v>
      </c>
      <c r="N203">
        <v>0</v>
      </c>
      <c r="O203">
        <v>0</v>
      </c>
      <c r="Q203">
        <v>53.9</v>
      </c>
    </row>
    <row r="204" spans="1:17">
      <c r="A204" t="s">
        <v>250</v>
      </c>
      <c r="B204" s="8">
        <v>45798</v>
      </c>
      <c r="C204" t="s">
        <v>1</v>
      </c>
      <c r="D204" t="s">
        <v>34</v>
      </c>
      <c r="E204" t="s">
        <v>40</v>
      </c>
      <c r="F204" t="s">
        <v>45</v>
      </c>
      <c r="G204" t="s">
        <v>42</v>
      </c>
      <c r="H204">
        <v>1</v>
      </c>
      <c r="I204">
        <v>1</v>
      </c>
      <c r="J204">
        <v>0</v>
      </c>
      <c r="K204">
        <v>0</v>
      </c>
      <c r="L204">
        <v>0</v>
      </c>
      <c r="M204">
        <v>0</v>
      </c>
      <c r="N204">
        <v>0</v>
      </c>
      <c r="O204">
        <v>0</v>
      </c>
      <c r="Q204">
        <v>77.5</v>
      </c>
    </row>
    <row r="205" spans="1:17">
      <c r="A205" t="s">
        <v>251</v>
      </c>
      <c r="B205" s="8">
        <v>45684</v>
      </c>
      <c r="C205" t="s">
        <v>1</v>
      </c>
      <c r="D205" t="s">
        <v>44</v>
      </c>
      <c r="E205" t="s">
        <v>40</v>
      </c>
      <c r="F205" t="s">
        <v>57</v>
      </c>
      <c r="G205" t="s">
        <v>37</v>
      </c>
      <c r="H205">
        <v>0</v>
      </c>
      <c r="I205">
        <v>0</v>
      </c>
      <c r="J205">
        <v>0</v>
      </c>
      <c r="K205">
        <v>0</v>
      </c>
      <c r="L205">
        <v>0</v>
      </c>
      <c r="M205">
        <v>0</v>
      </c>
      <c r="N205">
        <v>0</v>
      </c>
      <c r="O205">
        <v>0</v>
      </c>
      <c r="Q205">
        <v>84.2</v>
      </c>
    </row>
    <row r="206" spans="1:17">
      <c r="A206" t="s">
        <v>252</v>
      </c>
      <c r="B206" s="8">
        <v>45799</v>
      </c>
      <c r="C206" t="s">
        <v>1</v>
      </c>
      <c r="D206" t="s">
        <v>39</v>
      </c>
      <c r="E206" t="s">
        <v>35</v>
      </c>
      <c r="F206" t="s">
        <v>41</v>
      </c>
      <c r="G206" t="s">
        <v>42</v>
      </c>
      <c r="H206">
        <v>1</v>
      </c>
      <c r="I206">
        <v>1</v>
      </c>
      <c r="J206">
        <v>0</v>
      </c>
      <c r="K206">
        <v>0</v>
      </c>
      <c r="L206">
        <v>0</v>
      </c>
      <c r="M206">
        <v>0</v>
      </c>
      <c r="N206">
        <v>0</v>
      </c>
      <c r="O206">
        <v>0</v>
      </c>
      <c r="Q206">
        <v>54.9</v>
      </c>
    </row>
    <row r="207" spans="1:17">
      <c r="A207" t="s">
        <v>253</v>
      </c>
      <c r="B207" s="8">
        <v>45796</v>
      </c>
      <c r="C207" t="s">
        <v>1</v>
      </c>
      <c r="D207" t="s">
        <v>48</v>
      </c>
      <c r="E207" t="s">
        <v>40</v>
      </c>
      <c r="F207" t="s">
        <v>45</v>
      </c>
      <c r="G207" t="s">
        <v>42</v>
      </c>
      <c r="H207">
        <v>0</v>
      </c>
      <c r="I207">
        <v>0</v>
      </c>
      <c r="J207">
        <v>0</v>
      </c>
      <c r="K207">
        <v>0</v>
      </c>
      <c r="L207">
        <v>0</v>
      </c>
      <c r="M207">
        <v>0</v>
      </c>
      <c r="N207">
        <v>0</v>
      </c>
      <c r="O207">
        <v>0</v>
      </c>
      <c r="Q207">
        <v>69.3</v>
      </c>
    </row>
    <row r="208" spans="1:17">
      <c r="A208" t="s">
        <v>254</v>
      </c>
      <c r="B208" s="8">
        <v>45671</v>
      </c>
      <c r="C208" t="s">
        <v>1</v>
      </c>
      <c r="D208" t="s">
        <v>48</v>
      </c>
      <c r="E208" t="s">
        <v>35</v>
      </c>
      <c r="F208" t="s">
        <v>45</v>
      </c>
      <c r="G208" t="s">
        <v>42</v>
      </c>
      <c r="H208">
        <v>1</v>
      </c>
      <c r="I208">
        <v>0</v>
      </c>
      <c r="J208">
        <v>0</v>
      </c>
      <c r="K208">
        <v>0</v>
      </c>
      <c r="L208">
        <v>0</v>
      </c>
      <c r="M208">
        <v>2</v>
      </c>
      <c r="N208">
        <v>1</v>
      </c>
      <c r="O208">
        <v>0</v>
      </c>
      <c r="Q208">
        <v>42.3</v>
      </c>
    </row>
    <row r="209" spans="1:17">
      <c r="A209" t="s">
        <v>255</v>
      </c>
      <c r="B209" s="8">
        <v>45678</v>
      </c>
      <c r="C209" t="s">
        <v>1</v>
      </c>
      <c r="D209" t="s">
        <v>34</v>
      </c>
      <c r="E209" t="s">
        <v>35</v>
      </c>
      <c r="F209" t="s">
        <v>55</v>
      </c>
      <c r="G209" t="s">
        <v>46</v>
      </c>
      <c r="H209">
        <v>1</v>
      </c>
      <c r="I209">
        <v>0</v>
      </c>
      <c r="J209">
        <v>0</v>
      </c>
      <c r="K209">
        <v>0</v>
      </c>
      <c r="L209">
        <v>0</v>
      </c>
      <c r="M209">
        <v>1</v>
      </c>
      <c r="N209">
        <v>1</v>
      </c>
      <c r="O209">
        <v>0</v>
      </c>
      <c r="Q209">
        <v>69.599999999999994</v>
      </c>
    </row>
    <row r="210" spans="1:17">
      <c r="A210" t="s">
        <v>256</v>
      </c>
      <c r="B210" s="8">
        <v>45793</v>
      </c>
      <c r="C210" t="s">
        <v>1</v>
      </c>
      <c r="D210" t="s">
        <v>44</v>
      </c>
      <c r="E210" t="s">
        <v>40</v>
      </c>
      <c r="F210" t="s">
        <v>41</v>
      </c>
      <c r="G210" t="s">
        <v>42</v>
      </c>
      <c r="H210">
        <v>0</v>
      </c>
      <c r="I210">
        <v>0</v>
      </c>
      <c r="J210">
        <v>0</v>
      </c>
      <c r="K210">
        <v>0</v>
      </c>
      <c r="L210">
        <v>0</v>
      </c>
      <c r="M210">
        <v>0</v>
      </c>
      <c r="N210">
        <v>0</v>
      </c>
      <c r="O210">
        <v>0</v>
      </c>
      <c r="Q210">
        <v>40.700000000000003</v>
      </c>
    </row>
    <row r="211" spans="1:17">
      <c r="A211" t="s">
        <v>257</v>
      </c>
      <c r="B211" s="8">
        <v>45690</v>
      </c>
      <c r="C211" t="s">
        <v>1</v>
      </c>
      <c r="D211" t="s">
        <v>34</v>
      </c>
      <c r="E211" t="s">
        <v>40</v>
      </c>
      <c r="F211" t="s">
        <v>36</v>
      </c>
      <c r="G211" t="s">
        <v>42</v>
      </c>
      <c r="H211">
        <v>1</v>
      </c>
      <c r="I211">
        <v>0</v>
      </c>
      <c r="J211">
        <v>0</v>
      </c>
      <c r="K211">
        <v>0</v>
      </c>
      <c r="L211">
        <v>0</v>
      </c>
      <c r="M211">
        <v>0</v>
      </c>
      <c r="N211">
        <v>0</v>
      </c>
      <c r="O211">
        <v>0</v>
      </c>
      <c r="Q211">
        <v>54</v>
      </c>
    </row>
    <row r="212" spans="1:17">
      <c r="A212" t="s">
        <v>258</v>
      </c>
      <c r="B212" s="8">
        <v>45739</v>
      </c>
      <c r="C212" t="s">
        <v>1</v>
      </c>
      <c r="D212" t="s">
        <v>44</v>
      </c>
      <c r="F212" t="s">
        <v>55</v>
      </c>
      <c r="G212" t="s">
        <v>42</v>
      </c>
      <c r="H212">
        <v>1</v>
      </c>
      <c r="I212">
        <v>1</v>
      </c>
      <c r="J212">
        <v>1</v>
      </c>
      <c r="K212">
        <v>1</v>
      </c>
      <c r="L212">
        <v>553.37</v>
      </c>
      <c r="M212">
        <v>0</v>
      </c>
      <c r="N212">
        <v>0</v>
      </c>
      <c r="O212">
        <v>0</v>
      </c>
      <c r="P212">
        <v>5</v>
      </c>
      <c r="Q212">
        <v>46.3</v>
      </c>
    </row>
    <row r="213" spans="1:17">
      <c r="A213" t="s">
        <v>259</v>
      </c>
      <c r="B213" s="8">
        <v>45681</v>
      </c>
      <c r="C213" t="s">
        <v>1</v>
      </c>
      <c r="D213" t="s">
        <v>44</v>
      </c>
      <c r="E213" t="s">
        <v>40</v>
      </c>
      <c r="F213" t="s">
        <v>41</v>
      </c>
      <c r="G213" t="s">
        <v>42</v>
      </c>
      <c r="H213">
        <v>1</v>
      </c>
      <c r="I213">
        <v>0</v>
      </c>
      <c r="J213">
        <v>0</v>
      </c>
      <c r="K213">
        <v>0</v>
      </c>
      <c r="L213">
        <v>0</v>
      </c>
      <c r="M213">
        <v>0</v>
      </c>
      <c r="N213">
        <v>0</v>
      </c>
      <c r="O213">
        <v>0</v>
      </c>
      <c r="Q213">
        <v>64.2</v>
      </c>
    </row>
    <row r="214" spans="1:17">
      <c r="A214" t="s">
        <v>260</v>
      </c>
      <c r="B214" s="8">
        <v>45759</v>
      </c>
      <c r="C214" t="s">
        <v>1</v>
      </c>
      <c r="D214" t="s">
        <v>34</v>
      </c>
      <c r="E214" t="s">
        <v>35</v>
      </c>
      <c r="F214" t="s">
        <v>41</v>
      </c>
      <c r="G214" t="s">
        <v>42</v>
      </c>
      <c r="H214">
        <v>1</v>
      </c>
      <c r="I214">
        <v>0</v>
      </c>
      <c r="J214">
        <v>0</v>
      </c>
      <c r="K214">
        <v>0</v>
      </c>
      <c r="L214">
        <v>0</v>
      </c>
      <c r="M214">
        <v>0</v>
      </c>
      <c r="N214">
        <v>0</v>
      </c>
      <c r="O214">
        <v>0</v>
      </c>
      <c r="Q214">
        <v>75.2</v>
      </c>
    </row>
    <row r="215" spans="1:17">
      <c r="A215" t="s">
        <v>261</v>
      </c>
      <c r="B215" s="8">
        <v>45706</v>
      </c>
      <c r="C215" t="s">
        <v>1</v>
      </c>
      <c r="D215" t="s">
        <v>44</v>
      </c>
      <c r="E215" t="s">
        <v>35</v>
      </c>
      <c r="F215" t="s">
        <v>45</v>
      </c>
      <c r="G215" t="s">
        <v>42</v>
      </c>
      <c r="H215">
        <v>1</v>
      </c>
      <c r="I215">
        <v>1</v>
      </c>
      <c r="J215">
        <v>0</v>
      </c>
      <c r="K215">
        <v>0</v>
      </c>
      <c r="L215">
        <v>0</v>
      </c>
      <c r="M215">
        <v>0</v>
      </c>
      <c r="N215">
        <v>0</v>
      </c>
      <c r="O215">
        <v>0</v>
      </c>
      <c r="Q215">
        <v>60.9</v>
      </c>
    </row>
    <row r="216" spans="1:17">
      <c r="A216" t="s">
        <v>262</v>
      </c>
      <c r="B216" s="8">
        <v>45805</v>
      </c>
      <c r="C216" t="s">
        <v>1</v>
      </c>
      <c r="D216" t="s">
        <v>48</v>
      </c>
      <c r="E216" t="s">
        <v>40</v>
      </c>
      <c r="F216" t="s">
        <v>36</v>
      </c>
      <c r="G216" t="s">
        <v>37</v>
      </c>
      <c r="H216">
        <v>1</v>
      </c>
      <c r="I216">
        <v>1</v>
      </c>
      <c r="J216">
        <v>1</v>
      </c>
      <c r="K216">
        <v>0</v>
      </c>
      <c r="L216">
        <v>0</v>
      </c>
      <c r="M216">
        <v>0</v>
      </c>
      <c r="N216">
        <v>0</v>
      </c>
      <c r="O216">
        <v>0</v>
      </c>
      <c r="Q216">
        <v>62.1</v>
      </c>
    </row>
    <row r="217" spans="1:17">
      <c r="A217" t="s">
        <v>263</v>
      </c>
      <c r="B217" s="8">
        <v>45765</v>
      </c>
      <c r="C217" t="s">
        <v>1</v>
      </c>
      <c r="D217" t="s">
        <v>48</v>
      </c>
      <c r="E217" t="s">
        <v>40</v>
      </c>
      <c r="F217" t="s">
        <v>57</v>
      </c>
      <c r="G217" t="s">
        <v>37</v>
      </c>
      <c r="H217">
        <v>0</v>
      </c>
      <c r="I217">
        <v>0</v>
      </c>
      <c r="J217">
        <v>0</v>
      </c>
      <c r="K217">
        <v>0</v>
      </c>
      <c r="L217">
        <v>0</v>
      </c>
      <c r="M217">
        <v>0</v>
      </c>
      <c r="N217">
        <v>0</v>
      </c>
      <c r="O217">
        <v>0</v>
      </c>
      <c r="Q217">
        <v>45.4</v>
      </c>
    </row>
    <row r="218" spans="1:17">
      <c r="A218" t="s">
        <v>264</v>
      </c>
      <c r="B218" s="8">
        <v>45743</v>
      </c>
      <c r="C218" t="s">
        <v>1</v>
      </c>
      <c r="D218" t="s">
        <v>34</v>
      </c>
      <c r="E218" t="s">
        <v>40</v>
      </c>
      <c r="F218" t="s">
        <v>45</v>
      </c>
      <c r="G218" t="s">
        <v>37</v>
      </c>
      <c r="H218">
        <v>1</v>
      </c>
      <c r="I218">
        <v>0</v>
      </c>
      <c r="J218">
        <v>0</v>
      </c>
      <c r="K218">
        <v>0</v>
      </c>
      <c r="L218">
        <v>0</v>
      </c>
      <c r="M218">
        <v>0</v>
      </c>
      <c r="N218">
        <v>0</v>
      </c>
      <c r="O218">
        <v>0</v>
      </c>
      <c r="Q218">
        <v>53.3</v>
      </c>
    </row>
    <row r="219" spans="1:17">
      <c r="A219" t="s">
        <v>265</v>
      </c>
      <c r="B219" s="8">
        <v>45713</v>
      </c>
      <c r="C219" t="s">
        <v>1</v>
      </c>
      <c r="D219" t="s">
        <v>34</v>
      </c>
      <c r="E219" t="s">
        <v>50</v>
      </c>
      <c r="F219" t="s">
        <v>57</v>
      </c>
      <c r="G219" t="s">
        <v>42</v>
      </c>
      <c r="H219">
        <v>1</v>
      </c>
      <c r="I219">
        <v>0</v>
      </c>
      <c r="J219">
        <v>0</v>
      </c>
      <c r="K219">
        <v>0</v>
      </c>
      <c r="L219">
        <v>0</v>
      </c>
      <c r="M219">
        <v>0</v>
      </c>
      <c r="N219">
        <v>0</v>
      </c>
      <c r="O219">
        <v>0</v>
      </c>
    </row>
    <row r="220" spans="1:17">
      <c r="A220" t="s">
        <v>266</v>
      </c>
      <c r="B220" s="8">
        <v>45707</v>
      </c>
      <c r="C220" t="s">
        <v>1</v>
      </c>
      <c r="D220" t="s">
        <v>44</v>
      </c>
      <c r="E220" t="s">
        <v>40</v>
      </c>
      <c r="F220" t="s">
        <v>45</v>
      </c>
      <c r="G220" t="s">
        <v>42</v>
      </c>
      <c r="H220">
        <v>0</v>
      </c>
      <c r="I220">
        <v>0</v>
      </c>
      <c r="J220">
        <v>0</v>
      </c>
      <c r="K220">
        <v>0</v>
      </c>
      <c r="L220">
        <v>0</v>
      </c>
      <c r="M220">
        <v>1</v>
      </c>
      <c r="N220">
        <v>1</v>
      </c>
      <c r="O220">
        <v>0</v>
      </c>
      <c r="Q220">
        <v>38.200000000000003</v>
      </c>
    </row>
    <row r="221" spans="1:17">
      <c r="A221" t="s">
        <v>267</v>
      </c>
      <c r="B221" s="8">
        <v>45758</v>
      </c>
      <c r="C221" t="s">
        <v>1</v>
      </c>
      <c r="D221" t="s">
        <v>39</v>
      </c>
      <c r="E221" t="s">
        <v>40</v>
      </c>
      <c r="F221" t="s">
        <v>45</v>
      </c>
      <c r="G221" t="s">
        <v>42</v>
      </c>
      <c r="H221">
        <v>1</v>
      </c>
      <c r="I221">
        <v>1</v>
      </c>
      <c r="J221">
        <v>0</v>
      </c>
      <c r="K221">
        <v>0</v>
      </c>
      <c r="L221">
        <v>0</v>
      </c>
      <c r="M221">
        <v>3</v>
      </c>
      <c r="N221">
        <v>1</v>
      </c>
      <c r="O221">
        <v>0</v>
      </c>
      <c r="Q221">
        <v>59</v>
      </c>
    </row>
    <row r="222" spans="1:17">
      <c r="A222" t="s">
        <v>268</v>
      </c>
      <c r="B222" s="8">
        <v>45679</v>
      </c>
      <c r="C222" t="s">
        <v>1</v>
      </c>
      <c r="D222" t="s">
        <v>44</v>
      </c>
      <c r="E222" t="s">
        <v>50</v>
      </c>
      <c r="F222" t="s">
        <v>55</v>
      </c>
      <c r="G222" t="s">
        <v>46</v>
      </c>
      <c r="H222">
        <v>1</v>
      </c>
      <c r="I222">
        <v>1</v>
      </c>
      <c r="J222">
        <v>1</v>
      </c>
      <c r="K222">
        <v>0</v>
      </c>
      <c r="L222">
        <v>0</v>
      </c>
      <c r="M222">
        <v>0</v>
      </c>
      <c r="N222">
        <v>0</v>
      </c>
      <c r="O222">
        <v>0</v>
      </c>
      <c r="Q222">
        <v>80.599999999999994</v>
      </c>
    </row>
    <row r="223" spans="1:17">
      <c r="A223" t="s">
        <v>269</v>
      </c>
      <c r="B223" s="8">
        <v>45669</v>
      </c>
      <c r="C223" t="s">
        <v>1</v>
      </c>
      <c r="D223" t="s">
        <v>48</v>
      </c>
      <c r="E223" t="s">
        <v>40</v>
      </c>
      <c r="F223" t="s">
        <v>57</v>
      </c>
      <c r="G223" t="s">
        <v>42</v>
      </c>
      <c r="H223">
        <v>1</v>
      </c>
      <c r="I223">
        <v>0</v>
      </c>
      <c r="J223">
        <v>0</v>
      </c>
      <c r="K223">
        <v>0</v>
      </c>
      <c r="L223">
        <v>0</v>
      </c>
      <c r="M223">
        <v>0</v>
      </c>
      <c r="N223">
        <v>0</v>
      </c>
      <c r="O223">
        <v>0</v>
      </c>
      <c r="Q223">
        <v>67</v>
      </c>
    </row>
    <row r="224" spans="1:17">
      <c r="A224" t="s">
        <v>270</v>
      </c>
      <c r="B224" s="8">
        <v>45705</v>
      </c>
      <c r="C224" t="s">
        <v>1</v>
      </c>
      <c r="D224" t="s">
        <v>39</v>
      </c>
      <c r="E224" t="s">
        <v>40</v>
      </c>
      <c r="F224" t="s">
        <v>36</v>
      </c>
      <c r="G224" t="s">
        <v>42</v>
      </c>
      <c r="H224">
        <v>1</v>
      </c>
      <c r="I224">
        <v>0</v>
      </c>
      <c r="J224">
        <v>0</v>
      </c>
      <c r="K224">
        <v>0</v>
      </c>
      <c r="L224">
        <v>0</v>
      </c>
      <c r="M224">
        <v>1</v>
      </c>
      <c r="N224">
        <v>1</v>
      </c>
      <c r="O224">
        <v>0</v>
      </c>
      <c r="Q224">
        <v>72.099999999999994</v>
      </c>
    </row>
    <row r="225" spans="1:17">
      <c r="A225" t="s">
        <v>271</v>
      </c>
      <c r="B225" s="8">
        <v>45758</v>
      </c>
      <c r="C225" t="s">
        <v>1</v>
      </c>
      <c r="D225" t="s">
        <v>39</v>
      </c>
      <c r="E225" t="s">
        <v>35</v>
      </c>
      <c r="F225" t="s">
        <v>41</v>
      </c>
      <c r="G225" t="s">
        <v>42</v>
      </c>
      <c r="H225">
        <v>0</v>
      </c>
      <c r="I225">
        <v>0</v>
      </c>
      <c r="J225">
        <v>0</v>
      </c>
      <c r="K225">
        <v>0</v>
      </c>
      <c r="L225">
        <v>0</v>
      </c>
      <c r="M225">
        <v>0</v>
      </c>
      <c r="N225">
        <v>0</v>
      </c>
      <c r="O225">
        <v>0</v>
      </c>
      <c r="Q225">
        <v>74.099999999999994</v>
      </c>
    </row>
    <row r="226" spans="1:17">
      <c r="A226" t="s">
        <v>272</v>
      </c>
      <c r="B226" s="8">
        <v>45802</v>
      </c>
      <c r="C226" t="s">
        <v>1</v>
      </c>
      <c r="D226" t="s">
        <v>48</v>
      </c>
      <c r="E226" t="s">
        <v>40</v>
      </c>
      <c r="F226" t="s">
        <v>55</v>
      </c>
      <c r="G226" t="s">
        <v>46</v>
      </c>
      <c r="H226">
        <v>0</v>
      </c>
      <c r="I226">
        <v>0</v>
      </c>
      <c r="J226">
        <v>0</v>
      </c>
      <c r="K226">
        <v>0</v>
      </c>
      <c r="L226">
        <v>0</v>
      </c>
      <c r="M226">
        <v>0</v>
      </c>
      <c r="N226">
        <v>0</v>
      </c>
      <c r="O226">
        <v>0</v>
      </c>
      <c r="Q226">
        <v>84.8</v>
      </c>
    </row>
    <row r="227" spans="1:17">
      <c r="A227" t="s">
        <v>273</v>
      </c>
      <c r="B227" s="8">
        <v>45728</v>
      </c>
      <c r="C227" t="s">
        <v>1</v>
      </c>
      <c r="D227" t="s">
        <v>48</v>
      </c>
      <c r="E227" t="s">
        <v>40</v>
      </c>
      <c r="F227" t="s">
        <v>41</v>
      </c>
      <c r="G227" t="s">
        <v>37</v>
      </c>
      <c r="H227">
        <v>1</v>
      </c>
      <c r="I227">
        <v>0</v>
      </c>
      <c r="J227">
        <v>0</v>
      </c>
      <c r="K227">
        <v>0</v>
      </c>
      <c r="L227">
        <v>0</v>
      </c>
      <c r="M227">
        <v>0</v>
      </c>
      <c r="N227">
        <v>0</v>
      </c>
      <c r="O227">
        <v>0</v>
      </c>
      <c r="Q227">
        <v>33</v>
      </c>
    </row>
    <row r="228" spans="1:17">
      <c r="A228" t="s">
        <v>274</v>
      </c>
      <c r="B228" s="8">
        <v>45767</v>
      </c>
      <c r="C228" t="s">
        <v>1</v>
      </c>
      <c r="D228" t="s">
        <v>34</v>
      </c>
      <c r="E228" t="s">
        <v>50</v>
      </c>
      <c r="F228" t="s">
        <v>36</v>
      </c>
      <c r="G228" t="s">
        <v>42</v>
      </c>
      <c r="H228">
        <v>0</v>
      </c>
      <c r="I228">
        <v>0</v>
      </c>
      <c r="J228">
        <v>0</v>
      </c>
      <c r="K228">
        <v>0</v>
      </c>
      <c r="L228">
        <v>0</v>
      </c>
      <c r="M228">
        <v>0</v>
      </c>
      <c r="N228">
        <v>0</v>
      </c>
      <c r="O228">
        <v>0</v>
      </c>
      <c r="Q228">
        <v>52.5</v>
      </c>
    </row>
    <row r="229" spans="1:17">
      <c r="A229" t="s">
        <v>275</v>
      </c>
      <c r="B229" s="8">
        <v>45711</v>
      </c>
      <c r="C229" t="s">
        <v>1</v>
      </c>
      <c r="D229" t="s">
        <v>34</v>
      </c>
      <c r="E229" t="s">
        <v>50</v>
      </c>
      <c r="F229" t="s">
        <v>41</v>
      </c>
      <c r="G229" t="s">
        <v>42</v>
      </c>
      <c r="H229">
        <v>0</v>
      </c>
      <c r="I229">
        <v>0</v>
      </c>
      <c r="J229">
        <v>0</v>
      </c>
      <c r="K229">
        <v>0</v>
      </c>
      <c r="L229">
        <v>0</v>
      </c>
      <c r="M229">
        <v>0</v>
      </c>
      <c r="N229">
        <v>0</v>
      </c>
      <c r="O229">
        <v>0</v>
      </c>
      <c r="Q229">
        <v>66.900000000000006</v>
      </c>
    </row>
    <row r="230" spans="1:17">
      <c r="A230" t="s">
        <v>276</v>
      </c>
      <c r="B230" s="8">
        <v>45681</v>
      </c>
      <c r="C230" t="s">
        <v>1</v>
      </c>
      <c r="D230" t="s">
        <v>34</v>
      </c>
      <c r="E230" t="s">
        <v>40</v>
      </c>
      <c r="F230" t="s">
        <v>41</v>
      </c>
      <c r="G230" t="s">
        <v>37</v>
      </c>
      <c r="H230">
        <v>1</v>
      </c>
      <c r="I230">
        <v>1</v>
      </c>
      <c r="J230">
        <v>1</v>
      </c>
      <c r="K230">
        <v>0</v>
      </c>
      <c r="L230">
        <v>0</v>
      </c>
      <c r="M230">
        <v>1</v>
      </c>
      <c r="N230">
        <v>1</v>
      </c>
      <c r="O230">
        <v>0</v>
      </c>
      <c r="Q230">
        <v>32.700000000000003</v>
      </c>
    </row>
    <row r="231" spans="1:17">
      <c r="A231" t="s">
        <v>277</v>
      </c>
      <c r="B231" s="8">
        <v>45673</v>
      </c>
      <c r="C231" t="s">
        <v>1</v>
      </c>
      <c r="D231" t="s">
        <v>39</v>
      </c>
      <c r="E231" t="s">
        <v>40</v>
      </c>
      <c r="F231" t="s">
        <v>41</v>
      </c>
      <c r="G231" t="s">
        <v>46</v>
      </c>
      <c r="H231">
        <v>1</v>
      </c>
      <c r="I231">
        <v>1</v>
      </c>
      <c r="J231">
        <v>1</v>
      </c>
      <c r="K231">
        <v>0</v>
      </c>
      <c r="L231">
        <v>0</v>
      </c>
      <c r="M231">
        <v>1</v>
      </c>
      <c r="N231">
        <v>1</v>
      </c>
      <c r="O231">
        <v>0</v>
      </c>
      <c r="Q231">
        <v>70.599999999999994</v>
      </c>
    </row>
    <row r="232" spans="1:17">
      <c r="A232" t="s">
        <v>278</v>
      </c>
      <c r="B232" s="8">
        <v>45705</v>
      </c>
      <c r="C232" t="s">
        <v>1</v>
      </c>
      <c r="D232" t="s">
        <v>34</v>
      </c>
      <c r="E232" t="s">
        <v>40</v>
      </c>
      <c r="F232" t="s">
        <v>57</v>
      </c>
      <c r="G232" t="s">
        <v>42</v>
      </c>
      <c r="H232">
        <v>0</v>
      </c>
      <c r="I232">
        <v>0</v>
      </c>
      <c r="J232">
        <v>0</v>
      </c>
      <c r="K232">
        <v>0</v>
      </c>
      <c r="L232">
        <v>0</v>
      </c>
      <c r="M232">
        <v>0</v>
      </c>
      <c r="N232">
        <v>0</v>
      </c>
      <c r="O232">
        <v>0</v>
      </c>
      <c r="Q232">
        <v>69.400000000000006</v>
      </c>
    </row>
    <row r="233" spans="1:17">
      <c r="A233" t="s">
        <v>279</v>
      </c>
      <c r="B233" s="8">
        <v>45781</v>
      </c>
      <c r="C233" t="s">
        <v>1</v>
      </c>
      <c r="D233" t="s">
        <v>34</v>
      </c>
      <c r="E233" t="s">
        <v>35</v>
      </c>
      <c r="F233" t="s">
        <v>41</v>
      </c>
      <c r="G233" t="s">
        <v>37</v>
      </c>
      <c r="H233">
        <v>1</v>
      </c>
      <c r="I233">
        <v>0</v>
      </c>
      <c r="J233">
        <v>0</v>
      </c>
      <c r="K233">
        <v>0</v>
      </c>
      <c r="L233">
        <v>0</v>
      </c>
      <c r="M233">
        <v>0</v>
      </c>
      <c r="N233">
        <v>0</v>
      </c>
      <c r="O233">
        <v>0</v>
      </c>
      <c r="Q233">
        <v>56.1</v>
      </c>
    </row>
    <row r="234" spans="1:17">
      <c r="A234" t="s">
        <v>280</v>
      </c>
      <c r="B234" s="8">
        <v>45669</v>
      </c>
      <c r="C234" t="s">
        <v>1</v>
      </c>
      <c r="D234" t="s">
        <v>39</v>
      </c>
      <c r="E234" t="s">
        <v>40</v>
      </c>
      <c r="F234" t="s">
        <v>41</v>
      </c>
      <c r="G234" t="s">
        <v>37</v>
      </c>
      <c r="H234">
        <v>0</v>
      </c>
      <c r="I234">
        <v>0</v>
      </c>
      <c r="J234">
        <v>0</v>
      </c>
      <c r="K234">
        <v>0</v>
      </c>
      <c r="L234">
        <v>0</v>
      </c>
      <c r="M234">
        <v>0</v>
      </c>
      <c r="N234">
        <v>0</v>
      </c>
      <c r="O234">
        <v>0</v>
      </c>
      <c r="Q234">
        <v>55.8</v>
      </c>
    </row>
    <row r="235" spans="1:17">
      <c r="A235" t="s">
        <v>281</v>
      </c>
      <c r="B235" s="8">
        <v>45775</v>
      </c>
      <c r="C235" t="s">
        <v>1</v>
      </c>
      <c r="D235" t="s">
        <v>34</v>
      </c>
      <c r="E235" t="s">
        <v>50</v>
      </c>
      <c r="F235" t="s">
        <v>41</v>
      </c>
      <c r="G235" t="s">
        <v>42</v>
      </c>
      <c r="H235">
        <v>0</v>
      </c>
      <c r="I235">
        <v>0</v>
      </c>
      <c r="J235">
        <v>0</v>
      </c>
      <c r="K235">
        <v>0</v>
      </c>
      <c r="L235">
        <v>0</v>
      </c>
      <c r="M235">
        <v>0</v>
      </c>
      <c r="N235">
        <v>0</v>
      </c>
      <c r="O235">
        <v>0</v>
      </c>
      <c r="Q235">
        <v>49.3</v>
      </c>
    </row>
    <row r="236" spans="1:17">
      <c r="A236" t="s">
        <v>282</v>
      </c>
      <c r="B236" s="8">
        <v>45714</v>
      </c>
      <c r="C236" t="s">
        <v>1</v>
      </c>
      <c r="D236" t="s">
        <v>34</v>
      </c>
      <c r="E236" t="s">
        <v>40</v>
      </c>
      <c r="F236" t="s">
        <v>41</v>
      </c>
      <c r="G236" t="s">
        <v>42</v>
      </c>
      <c r="H236">
        <v>0</v>
      </c>
      <c r="I236">
        <v>0</v>
      </c>
      <c r="J236">
        <v>0</v>
      </c>
      <c r="K236">
        <v>0</v>
      </c>
      <c r="L236">
        <v>0</v>
      </c>
      <c r="M236">
        <v>0</v>
      </c>
      <c r="N236">
        <v>0</v>
      </c>
      <c r="O236">
        <v>0</v>
      </c>
      <c r="Q236">
        <v>71.8</v>
      </c>
    </row>
    <row r="237" spans="1:17">
      <c r="A237" t="s">
        <v>283</v>
      </c>
      <c r="B237" s="8">
        <v>45734</v>
      </c>
      <c r="C237" t="s">
        <v>1</v>
      </c>
      <c r="D237" t="s">
        <v>39</v>
      </c>
      <c r="E237" t="s">
        <v>40</v>
      </c>
      <c r="F237" t="s">
        <v>57</v>
      </c>
      <c r="G237" t="s">
        <v>42</v>
      </c>
      <c r="H237">
        <v>1</v>
      </c>
      <c r="I237">
        <v>0</v>
      </c>
      <c r="J237">
        <v>0</v>
      </c>
      <c r="K237">
        <v>0</v>
      </c>
      <c r="L237">
        <v>0</v>
      </c>
      <c r="M237">
        <v>3</v>
      </c>
      <c r="N237">
        <v>1</v>
      </c>
      <c r="O237">
        <v>0</v>
      </c>
      <c r="Q237">
        <v>39.700000000000003</v>
      </c>
    </row>
    <row r="238" spans="1:17">
      <c r="A238" t="s">
        <v>284</v>
      </c>
      <c r="B238" s="8">
        <v>45717</v>
      </c>
      <c r="C238" t="s">
        <v>1</v>
      </c>
      <c r="D238" t="s">
        <v>48</v>
      </c>
      <c r="E238" t="s">
        <v>35</v>
      </c>
      <c r="F238" t="s">
        <v>41</v>
      </c>
      <c r="G238" t="s">
        <v>46</v>
      </c>
      <c r="H238">
        <v>1</v>
      </c>
      <c r="I238">
        <v>0</v>
      </c>
      <c r="J238">
        <v>0</v>
      </c>
      <c r="K238">
        <v>0</v>
      </c>
      <c r="L238">
        <v>0</v>
      </c>
      <c r="M238">
        <v>0</v>
      </c>
      <c r="N238">
        <v>0</v>
      </c>
      <c r="O238">
        <v>0</v>
      </c>
      <c r="Q238">
        <v>45.4</v>
      </c>
    </row>
    <row r="239" spans="1:17">
      <c r="A239" t="s">
        <v>285</v>
      </c>
      <c r="B239" s="8">
        <v>45752</v>
      </c>
      <c r="C239" t="s">
        <v>1</v>
      </c>
      <c r="D239" t="s">
        <v>34</v>
      </c>
      <c r="E239" t="s">
        <v>35</v>
      </c>
      <c r="F239" t="s">
        <v>57</v>
      </c>
      <c r="G239" t="s">
        <v>46</v>
      </c>
      <c r="H239">
        <v>1</v>
      </c>
      <c r="I239">
        <v>0</v>
      </c>
      <c r="J239">
        <v>0</v>
      </c>
      <c r="K239">
        <v>0</v>
      </c>
      <c r="L239">
        <v>0</v>
      </c>
      <c r="M239">
        <v>0</v>
      </c>
      <c r="N239">
        <v>0</v>
      </c>
      <c r="O239">
        <v>0</v>
      </c>
      <c r="Q239">
        <v>69.900000000000006</v>
      </c>
    </row>
    <row r="240" spans="1:17">
      <c r="A240" t="s">
        <v>286</v>
      </c>
      <c r="B240" s="8">
        <v>45728</v>
      </c>
      <c r="C240" t="s">
        <v>1</v>
      </c>
      <c r="D240" t="s">
        <v>34</v>
      </c>
      <c r="E240" t="s">
        <v>35</v>
      </c>
      <c r="F240" t="s">
        <v>57</v>
      </c>
      <c r="G240" t="s">
        <v>42</v>
      </c>
      <c r="H240">
        <v>1</v>
      </c>
      <c r="I240">
        <v>1</v>
      </c>
      <c r="J240">
        <v>1</v>
      </c>
      <c r="K240">
        <v>0</v>
      </c>
      <c r="L240">
        <v>0</v>
      </c>
      <c r="M240">
        <v>0</v>
      </c>
      <c r="N240">
        <v>0</v>
      </c>
      <c r="O240">
        <v>0</v>
      </c>
      <c r="Q240">
        <v>56.1</v>
      </c>
    </row>
    <row r="241" spans="1:17">
      <c r="A241" t="s">
        <v>287</v>
      </c>
      <c r="B241" s="8">
        <v>45731</v>
      </c>
      <c r="C241" t="s">
        <v>1</v>
      </c>
      <c r="D241" t="s">
        <v>39</v>
      </c>
      <c r="E241" t="s">
        <v>40</v>
      </c>
      <c r="F241" t="s">
        <v>55</v>
      </c>
      <c r="G241" t="s">
        <v>37</v>
      </c>
      <c r="H241">
        <v>1</v>
      </c>
      <c r="I241">
        <v>1</v>
      </c>
      <c r="J241">
        <v>0</v>
      </c>
      <c r="K241">
        <v>0</v>
      </c>
      <c r="L241">
        <v>0</v>
      </c>
      <c r="M241">
        <v>0</v>
      </c>
      <c r="N241">
        <v>0</v>
      </c>
      <c r="O241">
        <v>0</v>
      </c>
      <c r="Q241">
        <v>45.9</v>
      </c>
    </row>
    <row r="242" spans="1:17">
      <c r="A242" t="s">
        <v>288</v>
      </c>
      <c r="B242" s="8">
        <v>45711</v>
      </c>
      <c r="C242" t="s">
        <v>1</v>
      </c>
      <c r="D242" t="s">
        <v>39</v>
      </c>
      <c r="E242" t="s">
        <v>40</v>
      </c>
      <c r="F242" t="s">
        <v>36</v>
      </c>
      <c r="G242" t="s">
        <v>42</v>
      </c>
      <c r="H242">
        <v>0</v>
      </c>
      <c r="I242">
        <v>0</v>
      </c>
      <c r="J242">
        <v>0</v>
      </c>
      <c r="K242">
        <v>0</v>
      </c>
      <c r="L242">
        <v>0</v>
      </c>
      <c r="M242">
        <v>0</v>
      </c>
      <c r="N242">
        <v>0</v>
      </c>
      <c r="O242">
        <v>0</v>
      </c>
      <c r="Q242">
        <v>65.8</v>
      </c>
    </row>
    <row r="243" spans="1:17">
      <c r="A243" t="s">
        <v>289</v>
      </c>
      <c r="B243" s="8">
        <v>45769</v>
      </c>
      <c r="C243" t="s">
        <v>1</v>
      </c>
      <c r="D243" t="s">
        <v>34</v>
      </c>
      <c r="E243" t="s">
        <v>40</v>
      </c>
      <c r="F243" t="s">
        <v>41</v>
      </c>
      <c r="G243" t="s">
        <v>37</v>
      </c>
      <c r="H243">
        <v>1</v>
      </c>
      <c r="I243">
        <v>0</v>
      </c>
      <c r="J243">
        <v>0</v>
      </c>
      <c r="K243">
        <v>0</v>
      </c>
      <c r="L243">
        <v>0</v>
      </c>
      <c r="M243">
        <v>0</v>
      </c>
      <c r="N243">
        <v>0</v>
      </c>
      <c r="O243">
        <v>0</v>
      </c>
      <c r="Q243">
        <v>48.2</v>
      </c>
    </row>
    <row r="244" spans="1:17">
      <c r="A244" t="s">
        <v>290</v>
      </c>
      <c r="B244" s="8">
        <v>45666</v>
      </c>
      <c r="C244" t="s">
        <v>1</v>
      </c>
      <c r="D244" t="s">
        <v>44</v>
      </c>
      <c r="E244" t="s">
        <v>40</v>
      </c>
      <c r="F244" t="s">
        <v>41</v>
      </c>
      <c r="G244" t="s">
        <v>37</v>
      </c>
      <c r="H244">
        <v>1</v>
      </c>
      <c r="I244">
        <v>1</v>
      </c>
      <c r="J244">
        <v>1</v>
      </c>
      <c r="K244">
        <v>0</v>
      </c>
      <c r="L244">
        <v>0</v>
      </c>
      <c r="M244">
        <v>0</v>
      </c>
      <c r="N244">
        <v>0</v>
      </c>
      <c r="O244">
        <v>0</v>
      </c>
      <c r="Q244">
        <v>81.099999999999994</v>
      </c>
    </row>
    <row r="245" spans="1:17">
      <c r="A245" t="s">
        <v>291</v>
      </c>
      <c r="B245" s="8">
        <v>45721</v>
      </c>
      <c r="C245" t="s">
        <v>1</v>
      </c>
      <c r="D245" t="s">
        <v>44</v>
      </c>
      <c r="E245" t="s">
        <v>50</v>
      </c>
      <c r="F245" t="s">
        <v>57</v>
      </c>
      <c r="G245" t="s">
        <v>46</v>
      </c>
      <c r="H245">
        <v>1</v>
      </c>
      <c r="I245">
        <v>1</v>
      </c>
      <c r="J245">
        <v>0</v>
      </c>
      <c r="K245">
        <v>0</v>
      </c>
      <c r="L245">
        <v>0</v>
      </c>
      <c r="M245">
        <v>0</v>
      </c>
      <c r="N245">
        <v>0</v>
      </c>
      <c r="O245">
        <v>0</v>
      </c>
      <c r="Q245">
        <v>53.2</v>
      </c>
    </row>
    <row r="246" spans="1:17">
      <c r="A246" t="s">
        <v>292</v>
      </c>
      <c r="B246" s="8">
        <v>45685</v>
      </c>
      <c r="C246" t="s">
        <v>1</v>
      </c>
      <c r="D246" t="s">
        <v>34</v>
      </c>
      <c r="E246" t="s">
        <v>40</v>
      </c>
      <c r="F246" t="s">
        <v>57</v>
      </c>
      <c r="G246" t="s">
        <v>42</v>
      </c>
      <c r="H246">
        <v>1</v>
      </c>
      <c r="I246">
        <v>1</v>
      </c>
      <c r="J246">
        <v>1</v>
      </c>
      <c r="K246">
        <v>0</v>
      </c>
      <c r="L246">
        <v>0</v>
      </c>
      <c r="M246">
        <v>0</v>
      </c>
      <c r="N246">
        <v>0</v>
      </c>
      <c r="O246">
        <v>0</v>
      </c>
      <c r="Q246">
        <v>57.7</v>
      </c>
    </row>
    <row r="247" spans="1:17">
      <c r="A247" t="s">
        <v>293</v>
      </c>
      <c r="B247" s="8">
        <v>45678</v>
      </c>
      <c r="C247" t="s">
        <v>1</v>
      </c>
      <c r="D247" t="s">
        <v>39</v>
      </c>
      <c r="E247" t="s">
        <v>40</v>
      </c>
      <c r="F247" t="s">
        <v>45</v>
      </c>
      <c r="G247" t="s">
        <v>46</v>
      </c>
      <c r="H247">
        <v>1</v>
      </c>
      <c r="I247">
        <v>1</v>
      </c>
      <c r="J247">
        <v>0</v>
      </c>
      <c r="K247">
        <v>0</v>
      </c>
      <c r="L247">
        <v>0</v>
      </c>
      <c r="M247">
        <v>0</v>
      </c>
      <c r="N247">
        <v>0</v>
      </c>
      <c r="O247">
        <v>0</v>
      </c>
      <c r="Q247">
        <v>78.900000000000006</v>
      </c>
    </row>
    <row r="248" spans="1:17">
      <c r="A248" t="s">
        <v>294</v>
      </c>
      <c r="B248" s="8">
        <v>45730</v>
      </c>
      <c r="C248" t="s">
        <v>1</v>
      </c>
      <c r="D248" t="s">
        <v>48</v>
      </c>
      <c r="E248" t="s">
        <v>40</v>
      </c>
      <c r="F248" t="s">
        <v>55</v>
      </c>
      <c r="G248" t="s">
        <v>37</v>
      </c>
      <c r="H248">
        <v>0</v>
      </c>
      <c r="I248">
        <v>0</v>
      </c>
      <c r="J248">
        <v>0</v>
      </c>
      <c r="K248">
        <v>0</v>
      </c>
      <c r="L248">
        <v>0</v>
      </c>
      <c r="M248">
        <v>0</v>
      </c>
      <c r="N248">
        <v>0</v>
      </c>
      <c r="O248">
        <v>0</v>
      </c>
      <c r="Q248">
        <v>55.7</v>
      </c>
    </row>
    <row r="249" spans="1:17">
      <c r="A249" t="s">
        <v>295</v>
      </c>
      <c r="B249" s="8">
        <v>45691</v>
      </c>
      <c r="C249" t="s">
        <v>1</v>
      </c>
      <c r="D249" t="s">
        <v>39</v>
      </c>
      <c r="E249" t="s">
        <v>40</v>
      </c>
      <c r="F249" t="s">
        <v>45</v>
      </c>
      <c r="G249" t="s">
        <v>42</v>
      </c>
      <c r="H249">
        <v>0</v>
      </c>
      <c r="I249">
        <v>0</v>
      </c>
      <c r="J249">
        <v>0</v>
      </c>
      <c r="K249">
        <v>0</v>
      </c>
      <c r="L249">
        <v>0</v>
      </c>
      <c r="M249">
        <v>0</v>
      </c>
      <c r="N249">
        <v>0</v>
      </c>
      <c r="O249">
        <v>0</v>
      </c>
      <c r="Q249">
        <v>52.3</v>
      </c>
    </row>
    <row r="250" spans="1:17">
      <c r="A250" t="s">
        <v>296</v>
      </c>
      <c r="B250" s="8">
        <v>45799</v>
      </c>
      <c r="C250" t="s">
        <v>1</v>
      </c>
      <c r="D250" t="s">
        <v>34</v>
      </c>
      <c r="E250" t="s">
        <v>40</v>
      </c>
      <c r="F250" t="s">
        <v>57</v>
      </c>
      <c r="G250" t="s">
        <v>42</v>
      </c>
      <c r="H250">
        <v>1</v>
      </c>
      <c r="I250">
        <v>0</v>
      </c>
      <c r="J250">
        <v>0</v>
      </c>
      <c r="K250">
        <v>0</v>
      </c>
      <c r="L250">
        <v>0</v>
      </c>
      <c r="M250">
        <v>0</v>
      </c>
      <c r="N250">
        <v>0</v>
      </c>
      <c r="O250">
        <v>0</v>
      </c>
      <c r="Q250">
        <v>51.5</v>
      </c>
    </row>
    <row r="251" spans="1:17">
      <c r="A251" t="s">
        <v>297</v>
      </c>
      <c r="B251" s="8">
        <v>45772</v>
      </c>
      <c r="C251" t="s">
        <v>1</v>
      </c>
      <c r="D251" t="s">
        <v>34</v>
      </c>
      <c r="E251" t="s">
        <v>35</v>
      </c>
      <c r="F251" t="s">
        <v>36</v>
      </c>
      <c r="G251" t="s">
        <v>42</v>
      </c>
      <c r="H251">
        <v>1</v>
      </c>
      <c r="I251">
        <v>0</v>
      </c>
      <c r="J251">
        <v>0</v>
      </c>
      <c r="K251">
        <v>0</v>
      </c>
      <c r="L251">
        <v>0</v>
      </c>
      <c r="M251">
        <v>0</v>
      </c>
      <c r="N251">
        <v>0</v>
      </c>
      <c r="O251">
        <v>0</v>
      </c>
      <c r="Q251">
        <v>70.8</v>
      </c>
    </row>
    <row r="252" spans="1:17">
      <c r="A252" t="s">
        <v>298</v>
      </c>
      <c r="B252" s="8">
        <v>45687</v>
      </c>
      <c r="C252" t="s">
        <v>1</v>
      </c>
      <c r="D252" t="s">
        <v>34</v>
      </c>
      <c r="E252" t="s">
        <v>35</v>
      </c>
      <c r="F252" t="s">
        <v>36</v>
      </c>
      <c r="G252" t="s">
        <v>37</v>
      </c>
      <c r="H252">
        <v>1</v>
      </c>
      <c r="I252">
        <v>1</v>
      </c>
      <c r="J252">
        <v>1</v>
      </c>
      <c r="K252">
        <v>1</v>
      </c>
      <c r="L252">
        <v>1250.78</v>
      </c>
      <c r="M252">
        <v>0</v>
      </c>
      <c r="N252">
        <v>0</v>
      </c>
      <c r="O252">
        <v>0</v>
      </c>
      <c r="P252">
        <v>10</v>
      </c>
      <c r="Q252">
        <v>39</v>
      </c>
    </row>
    <row r="253" spans="1:17">
      <c r="A253" t="s">
        <v>299</v>
      </c>
      <c r="B253" s="8">
        <v>45800</v>
      </c>
      <c r="C253" t="s">
        <v>1</v>
      </c>
      <c r="D253" t="s">
        <v>39</v>
      </c>
      <c r="E253" t="s">
        <v>40</v>
      </c>
      <c r="F253" t="s">
        <v>41</v>
      </c>
      <c r="G253" t="s">
        <v>42</v>
      </c>
      <c r="H253">
        <v>1</v>
      </c>
      <c r="I253">
        <v>0</v>
      </c>
      <c r="J253">
        <v>0</v>
      </c>
      <c r="K253">
        <v>0</v>
      </c>
      <c r="L253">
        <v>0</v>
      </c>
      <c r="M253">
        <v>0</v>
      </c>
      <c r="N253">
        <v>0</v>
      </c>
      <c r="O253">
        <v>0</v>
      </c>
      <c r="Q253">
        <v>61.6</v>
      </c>
    </row>
    <row r="254" spans="1:17">
      <c r="A254" t="s">
        <v>300</v>
      </c>
      <c r="B254" s="8">
        <v>45702</v>
      </c>
      <c r="C254" t="s">
        <v>1</v>
      </c>
      <c r="D254" t="s">
        <v>44</v>
      </c>
      <c r="E254" t="s">
        <v>35</v>
      </c>
      <c r="F254" t="s">
        <v>41</v>
      </c>
      <c r="G254" t="s">
        <v>42</v>
      </c>
      <c r="H254">
        <v>1</v>
      </c>
      <c r="I254">
        <v>1</v>
      </c>
      <c r="J254">
        <v>1</v>
      </c>
      <c r="K254">
        <v>0</v>
      </c>
      <c r="L254">
        <v>0</v>
      </c>
      <c r="M254">
        <v>0</v>
      </c>
      <c r="N254">
        <v>0</v>
      </c>
      <c r="O254">
        <v>0</v>
      </c>
      <c r="Q254">
        <v>46.8</v>
      </c>
    </row>
    <row r="255" spans="1:17">
      <c r="A255" t="s">
        <v>301</v>
      </c>
      <c r="B255" s="8">
        <v>45721</v>
      </c>
      <c r="C255" t="s">
        <v>1</v>
      </c>
      <c r="D255" t="s">
        <v>34</v>
      </c>
      <c r="E255" t="s">
        <v>40</v>
      </c>
      <c r="F255" t="s">
        <v>45</v>
      </c>
      <c r="G255" t="s">
        <v>46</v>
      </c>
      <c r="H255">
        <v>0</v>
      </c>
      <c r="I255">
        <v>0</v>
      </c>
      <c r="J255">
        <v>0</v>
      </c>
      <c r="K255">
        <v>0</v>
      </c>
      <c r="L255">
        <v>0</v>
      </c>
      <c r="M255">
        <v>1</v>
      </c>
      <c r="N255">
        <v>1</v>
      </c>
      <c r="O255">
        <v>0</v>
      </c>
      <c r="Q255">
        <v>58.5</v>
      </c>
    </row>
    <row r="256" spans="1:17">
      <c r="A256" t="s">
        <v>302</v>
      </c>
      <c r="B256" s="8">
        <v>45804</v>
      </c>
      <c r="C256" t="s">
        <v>1</v>
      </c>
      <c r="D256" t="s">
        <v>34</v>
      </c>
      <c r="E256" t="s">
        <v>40</v>
      </c>
      <c r="F256" t="s">
        <v>45</v>
      </c>
      <c r="G256" t="s">
        <v>37</v>
      </c>
      <c r="H256">
        <v>0</v>
      </c>
      <c r="I256">
        <v>0</v>
      </c>
      <c r="J256">
        <v>0</v>
      </c>
      <c r="K256">
        <v>0</v>
      </c>
      <c r="L256">
        <v>0</v>
      </c>
      <c r="M256">
        <v>0</v>
      </c>
      <c r="N256">
        <v>0</v>
      </c>
      <c r="O256">
        <v>0</v>
      </c>
      <c r="Q256">
        <v>70.900000000000006</v>
      </c>
    </row>
    <row r="257" spans="1:17">
      <c r="A257" t="s">
        <v>303</v>
      </c>
      <c r="B257" s="8">
        <v>45664</v>
      </c>
      <c r="C257" t="s">
        <v>1</v>
      </c>
      <c r="D257" t="s">
        <v>48</v>
      </c>
      <c r="E257" t="s">
        <v>40</v>
      </c>
      <c r="F257" t="s">
        <v>45</v>
      </c>
      <c r="G257" t="s">
        <v>42</v>
      </c>
      <c r="H257">
        <v>1</v>
      </c>
      <c r="I257">
        <v>0</v>
      </c>
      <c r="J257">
        <v>0</v>
      </c>
      <c r="K257">
        <v>0</v>
      </c>
      <c r="L257">
        <v>0</v>
      </c>
      <c r="M257">
        <v>0</v>
      </c>
      <c r="N257">
        <v>0</v>
      </c>
      <c r="O257">
        <v>0</v>
      </c>
      <c r="Q257">
        <v>48.4</v>
      </c>
    </row>
    <row r="258" spans="1:17">
      <c r="A258" t="s">
        <v>304</v>
      </c>
      <c r="B258" s="8">
        <v>45768</v>
      </c>
      <c r="C258" t="s">
        <v>1</v>
      </c>
      <c r="D258" t="s">
        <v>34</v>
      </c>
      <c r="E258" t="s">
        <v>40</v>
      </c>
      <c r="F258" t="s">
        <v>36</v>
      </c>
      <c r="G258" t="s">
        <v>42</v>
      </c>
      <c r="H258">
        <v>1</v>
      </c>
      <c r="I258">
        <v>0</v>
      </c>
      <c r="J258">
        <v>0</v>
      </c>
      <c r="K258">
        <v>0</v>
      </c>
      <c r="L258">
        <v>0</v>
      </c>
      <c r="M258">
        <v>0</v>
      </c>
      <c r="N258">
        <v>0</v>
      </c>
      <c r="O258">
        <v>0</v>
      </c>
      <c r="Q258">
        <v>58</v>
      </c>
    </row>
    <row r="259" spans="1:17">
      <c r="A259" t="s">
        <v>305</v>
      </c>
      <c r="B259" s="8">
        <v>45790</v>
      </c>
      <c r="C259" t="s">
        <v>1</v>
      </c>
      <c r="D259" t="s">
        <v>34</v>
      </c>
      <c r="E259" t="s">
        <v>40</v>
      </c>
      <c r="F259" t="s">
        <v>45</v>
      </c>
      <c r="G259" t="s">
        <v>42</v>
      </c>
      <c r="H259">
        <v>0</v>
      </c>
      <c r="I259">
        <v>0</v>
      </c>
      <c r="J259">
        <v>0</v>
      </c>
      <c r="K259">
        <v>0</v>
      </c>
      <c r="L259">
        <v>0</v>
      </c>
      <c r="M259">
        <v>0</v>
      </c>
      <c r="N259">
        <v>0</v>
      </c>
      <c r="O259">
        <v>0</v>
      </c>
      <c r="Q259">
        <v>61.6</v>
      </c>
    </row>
    <row r="260" spans="1:17">
      <c r="A260" t="s">
        <v>306</v>
      </c>
      <c r="B260" s="8">
        <v>45685</v>
      </c>
      <c r="C260" t="s">
        <v>1</v>
      </c>
      <c r="D260" t="s">
        <v>44</v>
      </c>
      <c r="E260" t="s">
        <v>35</v>
      </c>
      <c r="F260" t="s">
        <v>41</v>
      </c>
      <c r="G260" t="s">
        <v>42</v>
      </c>
      <c r="H260">
        <v>1</v>
      </c>
      <c r="I260">
        <v>0</v>
      </c>
      <c r="J260">
        <v>0</v>
      </c>
      <c r="K260">
        <v>0</v>
      </c>
      <c r="L260">
        <v>0</v>
      </c>
      <c r="M260">
        <v>0</v>
      </c>
      <c r="N260">
        <v>0</v>
      </c>
      <c r="O260">
        <v>0</v>
      </c>
      <c r="Q260">
        <v>43.2</v>
      </c>
    </row>
    <row r="261" spans="1:17">
      <c r="A261" t="s">
        <v>307</v>
      </c>
      <c r="B261" s="8">
        <v>45732</v>
      </c>
      <c r="C261" t="s">
        <v>1</v>
      </c>
      <c r="D261" t="s">
        <v>44</v>
      </c>
      <c r="E261" t="s">
        <v>35</v>
      </c>
      <c r="F261" t="s">
        <v>45</v>
      </c>
      <c r="G261" t="s">
        <v>37</v>
      </c>
      <c r="H261">
        <v>1</v>
      </c>
      <c r="I261">
        <v>0</v>
      </c>
      <c r="J261">
        <v>0</v>
      </c>
      <c r="K261">
        <v>0</v>
      </c>
      <c r="L261">
        <v>0</v>
      </c>
      <c r="M261">
        <v>1</v>
      </c>
      <c r="N261">
        <v>1</v>
      </c>
      <c r="O261">
        <v>0</v>
      </c>
      <c r="Q261">
        <v>53.3</v>
      </c>
    </row>
    <row r="262" spans="1:17">
      <c r="A262" t="s">
        <v>308</v>
      </c>
      <c r="B262" s="8">
        <v>45757</v>
      </c>
      <c r="C262" t="s">
        <v>1</v>
      </c>
      <c r="D262" t="s">
        <v>44</v>
      </c>
      <c r="E262" t="s">
        <v>35</v>
      </c>
      <c r="F262" t="s">
        <v>57</v>
      </c>
      <c r="G262" t="s">
        <v>37</v>
      </c>
      <c r="H262">
        <v>0</v>
      </c>
      <c r="I262">
        <v>0</v>
      </c>
      <c r="J262">
        <v>0</v>
      </c>
      <c r="K262">
        <v>0</v>
      </c>
      <c r="L262">
        <v>0</v>
      </c>
      <c r="M262">
        <v>0</v>
      </c>
      <c r="N262">
        <v>0</v>
      </c>
      <c r="O262">
        <v>0</v>
      </c>
      <c r="Q262">
        <v>33.9</v>
      </c>
    </row>
    <row r="263" spans="1:17">
      <c r="A263" t="s">
        <v>309</v>
      </c>
      <c r="B263" s="8">
        <v>45731</v>
      </c>
      <c r="C263" t="s">
        <v>1</v>
      </c>
      <c r="D263" t="s">
        <v>44</v>
      </c>
      <c r="E263" t="s">
        <v>35</v>
      </c>
      <c r="F263" t="s">
        <v>55</v>
      </c>
      <c r="G263" t="s">
        <v>42</v>
      </c>
      <c r="H263">
        <v>1</v>
      </c>
      <c r="I263">
        <v>1</v>
      </c>
      <c r="J263">
        <v>1</v>
      </c>
      <c r="K263">
        <v>0</v>
      </c>
      <c r="L263">
        <v>0</v>
      </c>
      <c r="M263">
        <v>0</v>
      </c>
      <c r="N263">
        <v>0</v>
      </c>
      <c r="O263">
        <v>0</v>
      </c>
      <c r="Q263">
        <v>35.4</v>
      </c>
    </row>
    <row r="264" spans="1:17">
      <c r="A264" t="s">
        <v>310</v>
      </c>
      <c r="B264" s="8">
        <v>45754</v>
      </c>
      <c r="C264" t="s">
        <v>1</v>
      </c>
      <c r="D264" t="s">
        <v>39</v>
      </c>
      <c r="E264" t="s">
        <v>35</v>
      </c>
      <c r="F264" t="s">
        <v>41</v>
      </c>
      <c r="G264" t="s">
        <v>37</v>
      </c>
      <c r="H264">
        <v>1</v>
      </c>
      <c r="I264">
        <v>0</v>
      </c>
      <c r="J264">
        <v>0</v>
      </c>
      <c r="K264">
        <v>0</v>
      </c>
      <c r="L264">
        <v>0</v>
      </c>
      <c r="M264">
        <v>0</v>
      </c>
      <c r="N264">
        <v>0</v>
      </c>
      <c r="O264">
        <v>0</v>
      </c>
      <c r="Q264">
        <v>45</v>
      </c>
    </row>
    <row r="265" spans="1:17">
      <c r="A265" t="s">
        <v>311</v>
      </c>
      <c r="B265" s="8">
        <v>45700</v>
      </c>
      <c r="C265" t="s">
        <v>1</v>
      </c>
      <c r="D265" t="s">
        <v>48</v>
      </c>
      <c r="E265" t="s">
        <v>40</v>
      </c>
      <c r="F265" t="s">
        <v>41</v>
      </c>
      <c r="G265" t="s">
        <v>42</v>
      </c>
      <c r="H265">
        <v>1</v>
      </c>
      <c r="I265">
        <v>1</v>
      </c>
      <c r="J265">
        <v>0</v>
      </c>
      <c r="K265">
        <v>0</v>
      </c>
      <c r="L265">
        <v>0</v>
      </c>
      <c r="M265">
        <v>0</v>
      </c>
      <c r="N265">
        <v>0</v>
      </c>
      <c r="O265">
        <v>0</v>
      </c>
      <c r="Q265">
        <v>86.5</v>
      </c>
    </row>
    <row r="266" spans="1:17">
      <c r="A266" t="s">
        <v>312</v>
      </c>
      <c r="B266" s="8">
        <v>45782</v>
      </c>
      <c r="C266" t="s">
        <v>1</v>
      </c>
      <c r="D266" t="s">
        <v>39</v>
      </c>
      <c r="E266" t="s">
        <v>40</v>
      </c>
      <c r="F266" t="s">
        <v>57</v>
      </c>
      <c r="G266" t="s">
        <v>42</v>
      </c>
      <c r="H266">
        <v>0</v>
      </c>
      <c r="I266">
        <v>0</v>
      </c>
      <c r="J266">
        <v>0</v>
      </c>
      <c r="K266">
        <v>0</v>
      </c>
      <c r="L266">
        <v>0</v>
      </c>
      <c r="M266">
        <v>0</v>
      </c>
      <c r="N266">
        <v>0</v>
      </c>
      <c r="O266">
        <v>0</v>
      </c>
      <c r="Q266">
        <v>58.1</v>
      </c>
    </row>
    <row r="267" spans="1:17">
      <c r="A267" t="s">
        <v>313</v>
      </c>
      <c r="B267" s="8">
        <v>45727</v>
      </c>
      <c r="C267" t="s">
        <v>1</v>
      </c>
      <c r="D267" t="s">
        <v>39</v>
      </c>
      <c r="E267" t="s">
        <v>40</v>
      </c>
      <c r="F267" t="s">
        <v>55</v>
      </c>
      <c r="G267" t="s">
        <v>42</v>
      </c>
      <c r="H267">
        <v>1</v>
      </c>
      <c r="I267">
        <v>0</v>
      </c>
      <c r="J267">
        <v>0</v>
      </c>
      <c r="K267">
        <v>0</v>
      </c>
      <c r="L267">
        <v>0</v>
      </c>
      <c r="M267">
        <v>0</v>
      </c>
      <c r="N267">
        <v>0</v>
      </c>
      <c r="O267">
        <v>0</v>
      </c>
      <c r="Q267">
        <v>36.1</v>
      </c>
    </row>
    <row r="268" spans="1:17">
      <c r="A268" t="s">
        <v>314</v>
      </c>
      <c r="B268" s="8">
        <v>45698</v>
      </c>
      <c r="C268" t="s">
        <v>1</v>
      </c>
      <c r="D268" t="s">
        <v>44</v>
      </c>
      <c r="E268" t="s">
        <v>40</v>
      </c>
      <c r="F268" t="s">
        <v>57</v>
      </c>
      <c r="G268" t="s">
        <v>42</v>
      </c>
      <c r="H268">
        <v>0</v>
      </c>
      <c r="I268">
        <v>0</v>
      </c>
      <c r="J268">
        <v>0</v>
      </c>
      <c r="K268">
        <v>0</v>
      </c>
      <c r="L268">
        <v>0</v>
      </c>
      <c r="M268">
        <v>0</v>
      </c>
      <c r="N268">
        <v>0</v>
      </c>
      <c r="O268">
        <v>0</v>
      </c>
      <c r="Q268">
        <v>62.8</v>
      </c>
    </row>
    <row r="269" spans="1:17">
      <c r="A269" t="s">
        <v>315</v>
      </c>
      <c r="B269" s="8">
        <v>45753</v>
      </c>
      <c r="C269" t="s">
        <v>1</v>
      </c>
      <c r="D269" t="s">
        <v>48</v>
      </c>
      <c r="E269" t="s">
        <v>40</v>
      </c>
      <c r="F269" t="s">
        <v>41</v>
      </c>
      <c r="G269" t="s">
        <v>42</v>
      </c>
      <c r="H269">
        <v>0</v>
      </c>
      <c r="I269">
        <v>0</v>
      </c>
      <c r="J269">
        <v>0</v>
      </c>
      <c r="K269">
        <v>0</v>
      </c>
      <c r="L269">
        <v>0</v>
      </c>
      <c r="M269">
        <v>0</v>
      </c>
      <c r="N269">
        <v>0</v>
      </c>
      <c r="O269">
        <v>0</v>
      </c>
      <c r="Q269">
        <v>54.2</v>
      </c>
    </row>
    <row r="270" spans="1:17">
      <c r="A270" t="s">
        <v>316</v>
      </c>
      <c r="B270" s="8">
        <v>45663</v>
      </c>
      <c r="C270" t="s">
        <v>1</v>
      </c>
      <c r="D270" t="s">
        <v>44</v>
      </c>
      <c r="E270" t="s">
        <v>40</v>
      </c>
      <c r="F270" t="s">
        <v>55</v>
      </c>
      <c r="G270" t="s">
        <v>42</v>
      </c>
      <c r="H270">
        <v>0</v>
      </c>
      <c r="I270">
        <v>0</v>
      </c>
      <c r="J270">
        <v>0</v>
      </c>
      <c r="K270">
        <v>0</v>
      </c>
      <c r="L270">
        <v>0</v>
      </c>
      <c r="M270">
        <v>0</v>
      </c>
      <c r="N270">
        <v>0</v>
      </c>
      <c r="O270">
        <v>0</v>
      </c>
      <c r="Q270">
        <v>50</v>
      </c>
    </row>
    <row r="271" spans="1:17">
      <c r="A271" t="s">
        <v>317</v>
      </c>
      <c r="B271" s="8">
        <v>45741</v>
      </c>
      <c r="C271" t="s">
        <v>1</v>
      </c>
      <c r="D271" t="s">
        <v>44</v>
      </c>
      <c r="E271" t="s">
        <v>50</v>
      </c>
      <c r="F271" t="s">
        <v>45</v>
      </c>
      <c r="G271" t="s">
        <v>37</v>
      </c>
      <c r="H271">
        <v>1</v>
      </c>
      <c r="I271">
        <v>0</v>
      </c>
      <c r="J271">
        <v>0</v>
      </c>
      <c r="K271">
        <v>0</v>
      </c>
      <c r="L271">
        <v>0</v>
      </c>
      <c r="M271">
        <v>0</v>
      </c>
      <c r="N271">
        <v>0</v>
      </c>
      <c r="O271">
        <v>0</v>
      </c>
      <c r="Q271">
        <v>62</v>
      </c>
    </row>
    <row r="272" spans="1:17">
      <c r="A272" t="s">
        <v>318</v>
      </c>
      <c r="B272" s="8">
        <v>45701</v>
      </c>
      <c r="C272" t="s">
        <v>1</v>
      </c>
      <c r="D272" t="s">
        <v>44</v>
      </c>
      <c r="E272" t="s">
        <v>35</v>
      </c>
      <c r="F272" t="s">
        <v>55</v>
      </c>
      <c r="G272" t="s">
        <v>42</v>
      </c>
      <c r="H272">
        <v>1</v>
      </c>
      <c r="I272">
        <v>0</v>
      </c>
      <c r="J272">
        <v>0</v>
      </c>
      <c r="K272">
        <v>0</v>
      </c>
      <c r="L272">
        <v>0</v>
      </c>
      <c r="M272">
        <v>0</v>
      </c>
      <c r="N272">
        <v>0</v>
      </c>
      <c r="O272">
        <v>0</v>
      </c>
      <c r="Q272">
        <v>29.3</v>
      </c>
    </row>
    <row r="273" spans="1:17">
      <c r="A273" t="s">
        <v>319</v>
      </c>
      <c r="B273" s="8">
        <v>45733</v>
      </c>
      <c r="C273" t="s">
        <v>1</v>
      </c>
      <c r="D273" t="s">
        <v>39</v>
      </c>
      <c r="E273" t="s">
        <v>35</v>
      </c>
      <c r="F273" t="s">
        <v>41</v>
      </c>
      <c r="G273" t="s">
        <v>42</v>
      </c>
      <c r="H273">
        <v>1</v>
      </c>
      <c r="I273">
        <v>0</v>
      </c>
      <c r="J273">
        <v>0</v>
      </c>
      <c r="K273">
        <v>0</v>
      </c>
      <c r="L273">
        <v>0</v>
      </c>
      <c r="M273">
        <v>0</v>
      </c>
      <c r="N273">
        <v>0</v>
      </c>
      <c r="O273">
        <v>0</v>
      </c>
      <c r="Q273">
        <v>67.900000000000006</v>
      </c>
    </row>
    <row r="274" spans="1:17">
      <c r="A274" t="s">
        <v>320</v>
      </c>
      <c r="B274" s="8">
        <v>45787</v>
      </c>
      <c r="C274" t="s">
        <v>1</v>
      </c>
      <c r="D274" t="s">
        <v>34</v>
      </c>
      <c r="E274" t="s">
        <v>40</v>
      </c>
      <c r="F274" t="s">
        <v>55</v>
      </c>
      <c r="G274" t="s">
        <v>42</v>
      </c>
      <c r="H274">
        <v>1</v>
      </c>
      <c r="I274">
        <v>1</v>
      </c>
      <c r="J274">
        <v>1</v>
      </c>
      <c r="K274">
        <v>0</v>
      </c>
      <c r="L274">
        <v>0</v>
      </c>
      <c r="M274">
        <v>0</v>
      </c>
      <c r="N274">
        <v>0</v>
      </c>
      <c r="O274">
        <v>0</v>
      </c>
      <c r="Q274">
        <v>67.599999999999994</v>
      </c>
    </row>
    <row r="275" spans="1:17">
      <c r="A275" t="s">
        <v>321</v>
      </c>
      <c r="B275" s="8">
        <v>45784</v>
      </c>
      <c r="C275" t="s">
        <v>1</v>
      </c>
      <c r="D275" t="s">
        <v>48</v>
      </c>
      <c r="E275" t="s">
        <v>40</v>
      </c>
      <c r="F275" t="s">
        <v>45</v>
      </c>
      <c r="G275" t="s">
        <v>37</v>
      </c>
      <c r="H275">
        <v>0</v>
      </c>
      <c r="I275">
        <v>0</v>
      </c>
      <c r="J275">
        <v>0</v>
      </c>
      <c r="K275">
        <v>0</v>
      </c>
      <c r="L275">
        <v>0</v>
      </c>
      <c r="M275">
        <v>0</v>
      </c>
      <c r="N275">
        <v>0</v>
      </c>
      <c r="O275">
        <v>0</v>
      </c>
      <c r="Q275">
        <v>67.400000000000006</v>
      </c>
    </row>
    <row r="276" spans="1:17">
      <c r="A276" t="s">
        <v>322</v>
      </c>
      <c r="B276" s="8">
        <v>45714</v>
      </c>
      <c r="C276" t="s">
        <v>1</v>
      </c>
      <c r="D276" t="s">
        <v>39</v>
      </c>
      <c r="E276" t="s">
        <v>35</v>
      </c>
      <c r="F276" t="s">
        <v>45</v>
      </c>
      <c r="G276" t="s">
        <v>46</v>
      </c>
      <c r="H276">
        <v>0</v>
      </c>
      <c r="I276">
        <v>0</v>
      </c>
      <c r="J276">
        <v>0</v>
      </c>
      <c r="K276">
        <v>0</v>
      </c>
      <c r="L276">
        <v>0</v>
      </c>
      <c r="M276">
        <v>2</v>
      </c>
      <c r="N276">
        <v>1</v>
      </c>
      <c r="O276">
        <v>0</v>
      </c>
      <c r="Q276">
        <v>53</v>
      </c>
    </row>
    <row r="277" spans="1:17">
      <c r="A277" t="s">
        <v>323</v>
      </c>
      <c r="B277" s="8">
        <v>45788</v>
      </c>
      <c r="C277" t="s">
        <v>1</v>
      </c>
      <c r="D277" t="s">
        <v>34</v>
      </c>
      <c r="E277" t="s">
        <v>40</v>
      </c>
      <c r="F277" t="s">
        <v>41</v>
      </c>
      <c r="G277" t="s">
        <v>37</v>
      </c>
      <c r="H277">
        <v>0</v>
      </c>
      <c r="I277">
        <v>0</v>
      </c>
      <c r="J277">
        <v>0</v>
      </c>
      <c r="K277">
        <v>0</v>
      </c>
      <c r="L277">
        <v>0</v>
      </c>
      <c r="M277">
        <v>0</v>
      </c>
      <c r="N277">
        <v>0</v>
      </c>
      <c r="O277">
        <v>0</v>
      </c>
      <c r="Q277">
        <v>65.5</v>
      </c>
    </row>
    <row r="278" spans="1:17">
      <c r="A278" t="s">
        <v>324</v>
      </c>
      <c r="B278" s="8">
        <v>45736</v>
      </c>
      <c r="C278" t="s">
        <v>1</v>
      </c>
      <c r="D278" t="s">
        <v>48</v>
      </c>
      <c r="E278" t="s">
        <v>40</v>
      </c>
      <c r="F278" t="s">
        <v>41</v>
      </c>
      <c r="G278" t="s">
        <v>37</v>
      </c>
      <c r="H278">
        <v>1</v>
      </c>
      <c r="I278">
        <v>1</v>
      </c>
      <c r="J278">
        <v>0</v>
      </c>
      <c r="K278">
        <v>0</v>
      </c>
      <c r="L278">
        <v>0</v>
      </c>
      <c r="M278">
        <v>0</v>
      </c>
      <c r="N278">
        <v>0</v>
      </c>
      <c r="O278">
        <v>0</v>
      </c>
      <c r="Q278">
        <v>49.6</v>
      </c>
    </row>
    <row r="279" spans="1:17">
      <c r="A279" t="s">
        <v>325</v>
      </c>
      <c r="B279" s="8">
        <v>45676</v>
      </c>
      <c r="C279" t="s">
        <v>1</v>
      </c>
      <c r="D279" t="s">
        <v>34</v>
      </c>
      <c r="E279" t="s">
        <v>40</v>
      </c>
      <c r="F279" t="s">
        <v>36</v>
      </c>
      <c r="G279" t="s">
        <v>42</v>
      </c>
      <c r="H279">
        <v>1</v>
      </c>
      <c r="I279">
        <v>1</v>
      </c>
      <c r="J279">
        <v>0</v>
      </c>
      <c r="K279">
        <v>0</v>
      </c>
      <c r="L279">
        <v>0</v>
      </c>
      <c r="M279">
        <v>0</v>
      </c>
      <c r="N279">
        <v>0</v>
      </c>
      <c r="O279">
        <v>0</v>
      </c>
      <c r="Q279">
        <v>74.5</v>
      </c>
    </row>
    <row r="280" spans="1:17">
      <c r="A280" t="s">
        <v>326</v>
      </c>
      <c r="B280" s="8">
        <v>45724</v>
      </c>
      <c r="C280" t="s">
        <v>1</v>
      </c>
      <c r="D280" t="s">
        <v>34</v>
      </c>
      <c r="E280" t="s">
        <v>50</v>
      </c>
      <c r="F280" t="s">
        <v>45</v>
      </c>
      <c r="G280" t="s">
        <v>46</v>
      </c>
      <c r="H280">
        <v>1</v>
      </c>
      <c r="I280">
        <v>0</v>
      </c>
      <c r="J280">
        <v>0</v>
      </c>
      <c r="K280">
        <v>0</v>
      </c>
      <c r="L280">
        <v>0</v>
      </c>
      <c r="M280">
        <v>1</v>
      </c>
      <c r="N280">
        <v>1</v>
      </c>
      <c r="O280">
        <v>0</v>
      </c>
      <c r="Q280">
        <v>46.9</v>
      </c>
    </row>
    <row r="281" spans="1:17">
      <c r="A281" t="s">
        <v>327</v>
      </c>
      <c r="B281" s="8">
        <v>45772</v>
      </c>
      <c r="C281" t="s">
        <v>1</v>
      </c>
      <c r="D281" t="s">
        <v>34</v>
      </c>
      <c r="E281" t="s">
        <v>40</v>
      </c>
      <c r="F281" t="s">
        <v>41</v>
      </c>
      <c r="G281" t="s">
        <v>42</v>
      </c>
      <c r="H281">
        <v>0</v>
      </c>
      <c r="I281">
        <v>0</v>
      </c>
      <c r="J281">
        <v>0</v>
      </c>
      <c r="K281">
        <v>0</v>
      </c>
      <c r="L281">
        <v>0</v>
      </c>
      <c r="M281">
        <v>0</v>
      </c>
      <c r="N281">
        <v>0</v>
      </c>
      <c r="O281">
        <v>0</v>
      </c>
      <c r="Q281">
        <v>87.1</v>
      </c>
    </row>
    <row r="282" spans="1:17">
      <c r="A282" t="s">
        <v>328</v>
      </c>
      <c r="B282" s="8">
        <v>45751</v>
      </c>
      <c r="C282" t="s">
        <v>1</v>
      </c>
      <c r="D282" t="s">
        <v>34</v>
      </c>
      <c r="E282" t="s">
        <v>35</v>
      </c>
      <c r="F282" t="s">
        <v>41</v>
      </c>
      <c r="G282" t="s">
        <v>42</v>
      </c>
      <c r="H282">
        <v>1</v>
      </c>
      <c r="I282">
        <v>0</v>
      </c>
      <c r="J282">
        <v>0</v>
      </c>
      <c r="K282">
        <v>0</v>
      </c>
      <c r="L282">
        <v>0</v>
      </c>
      <c r="M282">
        <v>0</v>
      </c>
      <c r="N282">
        <v>0</v>
      </c>
      <c r="O282">
        <v>0</v>
      </c>
      <c r="Q282">
        <v>56</v>
      </c>
    </row>
    <row r="283" spans="1:17">
      <c r="A283" t="s">
        <v>329</v>
      </c>
      <c r="B283" s="8">
        <v>45778</v>
      </c>
      <c r="C283" t="s">
        <v>1</v>
      </c>
      <c r="D283" t="s">
        <v>44</v>
      </c>
      <c r="E283" t="s">
        <v>40</v>
      </c>
      <c r="F283" t="s">
        <v>45</v>
      </c>
      <c r="G283" t="s">
        <v>46</v>
      </c>
      <c r="H283">
        <v>1</v>
      </c>
      <c r="I283">
        <v>0</v>
      </c>
      <c r="J283">
        <v>0</v>
      </c>
      <c r="K283">
        <v>0</v>
      </c>
      <c r="L283">
        <v>0</v>
      </c>
      <c r="M283">
        <v>1</v>
      </c>
      <c r="N283">
        <v>1</v>
      </c>
      <c r="O283">
        <v>0</v>
      </c>
      <c r="Q283">
        <v>61.7</v>
      </c>
    </row>
    <row r="284" spans="1:17">
      <c r="A284" t="s">
        <v>330</v>
      </c>
      <c r="B284" s="8">
        <v>45678</v>
      </c>
      <c r="C284" t="s">
        <v>1</v>
      </c>
      <c r="D284" t="s">
        <v>48</v>
      </c>
      <c r="E284" t="s">
        <v>40</v>
      </c>
      <c r="F284" t="s">
        <v>57</v>
      </c>
      <c r="G284" t="s">
        <v>42</v>
      </c>
      <c r="H284">
        <v>1</v>
      </c>
      <c r="I284">
        <v>0</v>
      </c>
      <c r="J284">
        <v>0</v>
      </c>
      <c r="K284">
        <v>0</v>
      </c>
      <c r="L284">
        <v>0</v>
      </c>
      <c r="M284">
        <v>1</v>
      </c>
      <c r="N284">
        <v>1</v>
      </c>
      <c r="O284">
        <v>0</v>
      </c>
      <c r="Q284">
        <v>70.5</v>
      </c>
    </row>
    <row r="285" spans="1:17">
      <c r="A285" t="s">
        <v>331</v>
      </c>
      <c r="B285" s="8">
        <v>45698</v>
      </c>
      <c r="C285" t="s">
        <v>1</v>
      </c>
      <c r="D285" t="s">
        <v>34</v>
      </c>
      <c r="E285" t="s">
        <v>35</v>
      </c>
      <c r="F285" t="s">
        <v>55</v>
      </c>
      <c r="G285" t="s">
        <v>37</v>
      </c>
      <c r="H285">
        <v>1</v>
      </c>
      <c r="I285">
        <v>0</v>
      </c>
      <c r="J285">
        <v>0</v>
      </c>
      <c r="K285">
        <v>0</v>
      </c>
      <c r="L285">
        <v>0</v>
      </c>
      <c r="M285">
        <v>0</v>
      </c>
      <c r="N285">
        <v>0</v>
      </c>
      <c r="O285">
        <v>0</v>
      </c>
      <c r="Q285">
        <v>33.4</v>
      </c>
    </row>
    <row r="286" spans="1:17">
      <c r="A286" t="s">
        <v>332</v>
      </c>
      <c r="B286" s="8">
        <v>45783</v>
      </c>
      <c r="C286" t="s">
        <v>1</v>
      </c>
      <c r="D286" t="s">
        <v>48</v>
      </c>
      <c r="E286" t="s">
        <v>35</v>
      </c>
      <c r="F286" t="s">
        <v>41</v>
      </c>
      <c r="G286" t="s">
        <v>42</v>
      </c>
      <c r="H286">
        <v>1</v>
      </c>
      <c r="I286">
        <v>0</v>
      </c>
      <c r="J286">
        <v>0</v>
      </c>
      <c r="K286">
        <v>0</v>
      </c>
      <c r="L286">
        <v>0</v>
      </c>
      <c r="M286">
        <v>0</v>
      </c>
      <c r="N286">
        <v>0</v>
      </c>
      <c r="O286">
        <v>0</v>
      </c>
      <c r="Q286">
        <v>57.5</v>
      </c>
    </row>
    <row r="287" spans="1:17">
      <c r="A287" t="s">
        <v>333</v>
      </c>
      <c r="B287" s="8">
        <v>45696</v>
      </c>
      <c r="C287" t="s">
        <v>1</v>
      </c>
      <c r="D287" t="s">
        <v>34</v>
      </c>
      <c r="E287" t="s">
        <v>35</v>
      </c>
      <c r="F287" t="s">
        <v>45</v>
      </c>
      <c r="G287" t="s">
        <v>37</v>
      </c>
      <c r="H287">
        <v>1</v>
      </c>
      <c r="I287">
        <v>1</v>
      </c>
      <c r="J287">
        <v>0</v>
      </c>
      <c r="K287">
        <v>0</v>
      </c>
      <c r="L287">
        <v>0</v>
      </c>
      <c r="M287">
        <v>0</v>
      </c>
      <c r="N287">
        <v>0</v>
      </c>
      <c r="O287">
        <v>0</v>
      </c>
      <c r="Q287">
        <v>85.7</v>
      </c>
    </row>
    <row r="288" spans="1:17">
      <c r="A288" t="s">
        <v>334</v>
      </c>
      <c r="B288" s="8">
        <v>45808</v>
      </c>
      <c r="C288" t="s">
        <v>1</v>
      </c>
      <c r="D288" t="s">
        <v>44</v>
      </c>
      <c r="E288" t="s">
        <v>40</v>
      </c>
      <c r="F288" t="s">
        <v>57</v>
      </c>
      <c r="G288" t="s">
        <v>42</v>
      </c>
      <c r="H288">
        <v>1</v>
      </c>
      <c r="I288">
        <v>0</v>
      </c>
      <c r="J288">
        <v>0</v>
      </c>
      <c r="K288">
        <v>0</v>
      </c>
      <c r="L288">
        <v>0</v>
      </c>
      <c r="M288">
        <v>0</v>
      </c>
      <c r="N288">
        <v>0</v>
      </c>
      <c r="O288">
        <v>0</v>
      </c>
      <c r="Q288">
        <v>41.9</v>
      </c>
    </row>
    <row r="289" spans="1:17">
      <c r="A289" t="s">
        <v>335</v>
      </c>
      <c r="B289" s="8">
        <v>45695</v>
      </c>
      <c r="C289" t="s">
        <v>1</v>
      </c>
      <c r="D289" t="s">
        <v>39</v>
      </c>
      <c r="E289" t="s">
        <v>40</v>
      </c>
      <c r="F289" t="s">
        <v>36</v>
      </c>
      <c r="G289" t="s">
        <v>37</v>
      </c>
      <c r="H289">
        <v>1</v>
      </c>
      <c r="I289">
        <v>0</v>
      </c>
      <c r="J289">
        <v>0</v>
      </c>
      <c r="K289">
        <v>0</v>
      </c>
      <c r="L289">
        <v>0</v>
      </c>
      <c r="M289">
        <v>0</v>
      </c>
      <c r="N289">
        <v>0</v>
      </c>
      <c r="O289">
        <v>0</v>
      </c>
      <c r="Q289">
        <v>70.2</v>
      </c>
    </row>
    <row r="290" spans="1:17">
      <c r="A290" t="s">
        <v>336</v>
      </c>
      <c r="B290" s="8">
        <v>45698</v>
      </c>
      <c r="C290" t="s">
        <v>1</v>
      </c>
      <c r="D290" t="s">
        <v>34</v>
      </c>
      <c r="E290" t="s">
        <v>40</v>
      </c>
      <c r="F290" t="s">
        <v>57</v>
      </c>
      <c r="G290" t="s">
        <v>42</v>
      </c>
      <c r="H290">
        <v>1</v>
      </c>
      <c r="I290">
        <v>0</v>
      </c>
      <c r="J290">
        <v>0</v>
      </c>
      <c r="K290">
        <v>0</v>
      </c>
      <c r="L290">
        <v>0</v>
      </c>
      <c r="M290">
        <v>0</v>
      </c>
      <c r="N290">
        <v>0</v>
      </c>
      <c r="O290">
        <v>0</v>
      </c>
      <c r="Q290">
        <v>42.6</v>
      </c>
    </row>
    <row r="291" spans="1:17">
      <c r="A291" t="s">
        <v>337</v>
      </c>
      <c r="B291" s="8">
        <v>45688</v>
      </c>
      <c r="C291" t="s">
        <v>1</v>
      </c>
      <c r="D291" t="s">
        <v>39</v>
      </c>
      <c r="E291" t="s">
        <v>40</v>
      </c>
      <c r="F291" t="s">
        <v>57</v>
      </c>
      <c r="G291" t="s">
        <v>37</v>
      </c>
      <c r="H291">
        <v>0</v>
      </c>
      <c r="I291">
        <v>0</v>
      </c>
      <c r="J291">
        <v>0</v>
      </c>
      <c r="K291">
        <v>0</v>
      </c>
      <c r="L291">
        <v>0</v>
      </c>
      <c r="M291">
        <v>2</v>
      </c>
      <c r="N291">
        <v>1</v>
      </c>
      <c r="O291">
        <v>0</v>
      </c>
      <c r="Q291">
        <v>30.4</v>
      </c>
    </row>
    <row r="292" spans="1:17">
      <c r="A292" t="s">
        <v>338</v>
      </c>
      <c r="B292" s="8">
        <v>45732</v>
      </c>
      <c r="C292" t="s">
        <v>1</v>
      </c>
      <c r="D292" t="s">
        <v>44</v>
      </c>
      <c r="E292" t="s">
        <v>40</v>
      </c>
      <c r="F292" t="s">
        <v>45</v>
      </c>
      <c r="G292" t="s">
        <v>37</v>
      </c>
      <c r="H292">
        <v>1</v>
      </c>
      <c r="I292">
        <v>0</v>
      </c>
      <c r="J292">
        <v>0</v>
      </c>
      <c r="K292">
        <v>0</v>
      </c>
      <c r="L292">
        <v>0</v>
      </c>
      <c r="M292">
        <v>0</v>
      </c>
      <c r="N292">
        <v>0</v>
      </c>
      <c r="O292">
        <v>0</v>
      </c>
      <c r="Q292">
        <v>63.7</v>
      </c>
    </row>
    <row r="293" spans="1:17">
      <c r="A293" t="s">
        <v>339</v>
      </c>
      <c r="B293" s="8">
        <v>45771</v>
      </c>
      <c r="C293" t="s">
        <v>1</v>
      </c>
      <c r="D293" t="s">
        <v>48</v>
      </c>
      <c r="E293" t="s">
        <v>40</v>
      </c>
      <c r="F293" t="s">
        <v>57</v>
      </c>
      <c r="G293" t="s">
        <v>37</v>
      </c>
      <c r="H293">
        <v>0</v>
      </c>
      <c r="I293">
        <v>0</v>
      </c>
      <c r="J293">
        <v>0</v>
      </c>
      <c r="K293">
        <v>0</v>
      </c>
      <c r="L293">
        <v>0</v>
      </c>
      <c r="M293">
        <v>0</v>
      </c>
      <c r="N293">
        <v>0</v>
      </c>
      <c r="O293">
        <v>0</v>
      </c>
      <c r="Q293">
        <v>42.7</v>
      </c>
    </row>
    <row r="294" spans="1:17">
      <c r="A294" t="s">
        <v>340</v>
      </c>
      <c r="B294" s="8">
        <v>45685</v>
      </c>
      <c r="C294" t="s">
        <v>1</v>
      </c>
      <c r="D294" t="s">
        <v>34</v>
      </c>
      <c r="E294" t="s">
        <v>40</v>
      </c>
      <c r="F294" t="s">
        <v>41</v>
      </c>
      <c r="G294" t="s">
        <v>42</v>
      </c>
      <c r="H294">
        <v>0</v>
      </c>
      <c r="I294">
        <v>0</v>
      </c>
      <c r="J294">
        <v>0</v>
      </c>
      <c r="K294">
        <v>0</v>
      </c>
      <c r="L294">
        <v>0</v>
      </c>
      <c r="M294">
        <v>0</v>
      </c>
      <c r="N294">
        <v>0</v>
      </c>
      <c r="O294">
        <v>0</v>
      </c>
      <c r="Q294">
        <v>74.3</v>
      </c>
    </row>
    <row r="295" spans="1:17">
      <c r="A295" t="s">
        <v>341</v>
      </c>
      <c r="B295" s="8">
        <v>45704</v>
      </c>
      <c r="C295" t="s">
        <v>1</v>
      </c>
      <c r="D295" t="s">
        <v>39</v>
      </c>
      <c r="E295" t="s">
        <v>35</v>
      </c>
      <c r="F295" t="s">
        <v>36</v>
      </c>
      <c r="G295" t="s">
        <v>42</v>
      </c>
      <c r="H295">
        <v>1</v>
      </c>
      <c r="I295">
        <v>0</v>
      </c>
      <c r="J295">
        <v>0</v>
      </c>
      <c r="K295">
        <v>0</v>
      </c>
      <c r="L295">
        <v>0</v>
      </c>
      <c r="M295">
        <v>0</v>
      </c>
      <c r="N295">
        <v>0</v>
      </c>
      <c r="O295">
        <v>0</v>
      </c>
      <c r="Q295">
        <v>40.6</v>
      </c>
    </row>
    <row r="296" spans="1:17">
      <c r="A296" t="s">
        <v>342</v>
      </c>
      <c r="B296" s="8">
        <v>45739</v>
      </c>
      <c r="C296" t="s">
        <v>1</v>
      </c>
      <c r="D296" t="s">
        <v>44</v>
      </c>
      <c r="E296" t="s">
        <v>40</v>
      </c>
      <c r="F296" t="s">
        <v>41</v>
      </c>
      <c r="G296" t="s">
        <v>46</v>
      </c>
      <c r="H296">
        <v>0</v>
      </c>
      <c r="I296">
        <v>0</v>
      </c>
      <c r="J296">
        <v>0</v>
      </c>
      <c r="K296">
        <v>0</v>
      </c>
      <c r="L296">
        <v>0</v>
      </c>
      <c r="M296">
        <v>0</v>
      </c>
      <c r="N296">
        <v>0</v>
      </c>
      <c r="O296">
        <v>0</v>
      </c>
      <c r="Q296">
        <v>67</v>
      </c>
    </row>
    <row r="297" spans="1:17">
      <c r="A297" t="s">
        <v>343</v>
      </c>
      <c r="B297" s="8">
        <v>45808</v>
      </c>
      <c r="C297" t="s">
        <v>1</v>
      </c>
      <c r="D297" t="s">
        <v>44</v>
      </c>
      <c r="E297" t="s">
        <v>40</v>
      </c>
      <c r="F297" t="s">
        <v>45</v>
      </c>
      <c r="G297" t="s">
        <v>46</v>
      </c>
      <c r="H297">
        <v>0</v>
      </c>
      <c r="I297">
        <v>0</v>
      </c>
      <c r="J297">
        <v>0</v>
      </c>
      <c r="K297">
        <v>0</v>
      </c>
      <c r="L297">
        <v>0</v>
      </c>
      <c r="M297">
        <v>0</v>
      </c>
      <c r="N297">
        <v>0</v>
      </c>
      <c r="O297">
        <v>0</v>
      </c>
      <c r="Q297">
        <v>51</v>
      </c>
    </row>
    <row r="298" spans="1:17">
      <c r="A298" t="s">
        <v>344</v>
      </c>
      <c r="B298" s="8">
        <v>45760</v>
      </c>
      <c r="C298" t="s">
        <v>1</v>
      </c>
      <c r="D298" t="s">
        <v>39</v>
      </c>
      <c r="E298" t="s">
        <v>40</v>
      </c>
      <c r="F298" t="s">
        <v>57</v>
      </c>
      <c r="G298" t="s">
        <v>37</v>
      </c>
      <c r="H298">
        <v>1</v>
      </c>
      <c r="I298">
        <v>1</v>
      </c>
      <c r="J298">
        <v>0</v>
      </c>
      <c r="K298">
        <v>0</v>
      </c>
      <c r="L298">
        <v>0</v>
      </c>
      <c r="M298">
        <v>1</v>
      </c>
      <c r="N298">
        <v>1</v>
      </c>
      <c r="O298">
        <v>0</v>
      </c>
      <c r="Q298">
        <v>54.8</v>
      </c>
    </row>
    <row r="299" spans="1:17">
      <c r="A299" t="s">
        <v>345</v>
      </c>
      <c r="B299" s="8">
        <v>45791</v>
      </c>
      <c r="C299" t="s">
        <v>1</v>
      </c>
      <c r="D299" t="s">
        <v>34</v>
      </c>
      <c r="E299" t="s">
        <v>50</v>
      </c>
      <c r="F299" t="s">
        <v>36</v>
      </c>
      <c r="G299" t="s">
        <v>37</v>
      </c>
      <c r="H299">
        <v>0</v>
      </c>
      <c r="I299">
        <v>0</v>
      </c>
      <c r="J299">
        <v>0</v>
      </c>
      <c r="K299">
        <v>0</v>
      </c>
      <c r="L299">
        <v>0</v>
      </c>
      <c r="M299">
        <v>0</v>
      </c>
      <c r="N299">
        <v>0</v>
      </c>
      <c r="O299">
        <v>0</v>
      </c>
      <c r="Q299">
        <v>40.799999999999997</v>
      </c>
    </row>
    <row r="300" spans="1:17">
      <c r="A300" t="s">
        <v>346</v>
      </c>
      <c r="B300" s="8">
        <v>45707</v>
      </c>
      <c r="C300" t="s">
        <v>1</v>
      </c>
      <c r="D300" t="s">
        <v>44</v>
      </c>
      <c r="E300" t="s">
        <v>40</v>
      </c>
      <c r="F300" t="s">
        <v>45</v>
      </c>
      <c r="G300" t="s">
        <v>42</v>
      </c>
      <c r="H300">
        <v>0</v>
      </c>
      <c r="I300">
        <v>0</v>
      </c>
      <c r="J300">
        <v>0</v>
      </c>
      <c r="K300">
        <v>0</v>
      </c>
      <c r="L300">
        <v>0</v>
      </c>
      <c r="M300">
        <v>0</v>
      </c>
      <c r="N300">
        <v>0</v>
      </c>
      <c r="O300">
        <v>0</v>
      </c>
      <c r="Q300">
        <v>48.8</v>
      </c>
    </row>
    <row r="301" spans="1:17">
      <c r="A301" t="s">
        <v>347</v>
      </c>
      <c r="B301" s="8">
        <v>45681</v>
      </c>
      <c r="C301" t="s">
        <v>1</v>
      </c>
      <c r="D301" t="s">
        <v>48</v>
      </c>
      <c r="E301" t="s">
        <v>40</v>
      </c>
      <c r="G301" t="s">
        <v>37</v>
      </c>
      <c r="H301">
        <v>1</v>
      </c>
      <c r="I301">
        <v>1</v>
      </c>
      <c r="J301">
        <v>1</v>
      </c>
      <c r="K301">
        <v>1</v>
      </c>
      <c r="L301">
        <v>1198.69</v>
      </c>
      <c r="M301">
        <v>1</v>
      </c>
      <c r="N301">
        <v>1</v>
      </c>
      <c r="O301">
        <v>0</v>
      </c>
      <c r="P301">
        <v>6</v>
      </c>
      <c r="Q301">
        <v>88.9</v>
      </c>
    </row>
    <row r="302" spans="1:17">
      <c r="A302" t="s">
        <v>348</v>
      </c>
      <c r="B302" s="8">
        <v>45786</v>
      </c>
      <c r="C302" t="s">
        <v>1</v>
      </c>
      <c r="D302" t="s">
        <v>34</v>
      </c>
      <c r="E302" t="s">
        <v>40</v>
      </c>
      <c r="F302" t="s">
        <v>36</v>
      </c>
      <c r="G302" t="s">
        <v>37</v>
      </c>
      <c r="H302">
        <v>1</v>
      </c>
      <c r="I302">
        <v>1</v>
      </c>
      <c r="J302">
        <v>1</v>
      </c>
      <c r="K302">
        <v>0</v>
      </c>
      <c r="L302">
        <v>0</v>
      </c>
      <c r="M302">
        <v>1</v>
      </c>
      <c r="N302">
        <v>1</v>
      </c>
      <c r="O302">
        <v>0</v>
      </c>
      <c r="Q302">
        <v>60.5</v>
      </c>
    </row>
    <row r="303" spans="1:17">
      <c r="A303" t="s">
        <v>349</v>
      </c>
      <c r="B303" s="8">
        <v>45699</v>
      </c>
      <c r="C303" t="s">
        <v>1</v>
      </c>
      <c r="D303" t="s">
        <v>34</v>
      </c>
      <c r="E303" t="s">
        <v>40</v>
      </c>
      <c r="F303" t="s">
        <v>41</v>
      </c>
      <c r="G303" t="s">
        <v>37</v>
      </c>
      <c r="H303">
        <v>1</v>
      </c>
      <c r="I303">
        <v>0</v>
      </c>
      <c r="J303">
        <v>0</v>
      </c>
      <c r="K303">
        <v>0</v>
      </c>
      <c r="L303">
        <v>0</v>
      </c>
      <c r="M303">
        <v>0</v>
      </c>
      <c r="N303">
        <v>0</v>
      </c>
      <c r="O303">
        <v>0</v>
      </c>
      <c r="Q303">
        <v>63.6</v>
      </c>
    </row>
    <row r="304" spans="1:17">
      <c r="A304" t="s">
        <v>350</v>
      </c>
      <c r="B304" s="8">
        <v>45714</v>
      </c>
      <c r="C304" t="s">
        <v>1</v>
      </c>
      <c r="D304" t="s">
        <v>34</v>
      </c>
      <c r="E304" t="s">
        <v>35</v>
      </c>
      <c r="F304" t="s">
        <v>41</v>
      </c>
      <c r="G304" t="s">
        <v>37</v>
      </c>
      <c r="H304">
        <v>1</v>
      </c>
      <c r="I304">
        <v>1</v>
      </c>
      <c r="J304">
        <v>1</v>
      </c>
      <c r="K304">
        <v>1</v>
      </c>
      <c r="L304">
        <v>6788.95</v>
      </c>
      <c r="M304">
        <v>0</v>
      </c>
      <c r="N304">
        <v>0</v>
      </c>
      <c r="O304">
        <v>0</v>
      </c>
      <c r="P304">
        <v>17</v>
      </c>
      <c r="Q304">
        <v>58.4</v>
      </c>
    </row>
    <row r="305" spans="1:17">
      <c r="A305" t="s">
        <v>351</v>
      </c>
      <c r="B305" s="8">
        <v>45700</v>
      </c>
      <c r="C305" t="s">
        <v>1</v>
      </c>
      <c r="D305" t="s">
        <v>48</v>
      </c>
      <c r="E305" t="s">
        <v>40</v>
      </c>
      <c r="F305" t="s">
        <v>57</v>
      </c>
      <c r="G305" t="s">
        <v>46</v>
      </c>
      <c r="H305">
        <v>0</v>
      </c>
      <c r="I305">
        <v>0</v>
      </c>
      <c r="J305">
        <v>0</v>
      </c>
      <c r="K305">
        <v>0</v>
      </c>
      <c r="L305">
        <v>0</v>
      </c>
      <c r="M305">
        <v>0</v>
      </c>
      <c r="N305">
        <v>0</v>
      </c>
      <c r="O305">
        <v>0</v>
      </c>
      <c r="Q305">
        <v>52.7</v>
      </c>
    </row>
    <row r="306" spans="1:17">
      <c r="A306" t="s">
        <v>352</v>
      </c>
      <c r="B306" s="8">
        <v>45662</v>
      </c>
      <c r="C306" t="s">
        <v>1</v>
      </c>
      <c r="D306" t="s">
        <v>48</v>
      </c>
      <c r="E306" t="s">
        <v>50</v>
      </c>
      <c r="F306" t="s">
        <v>57</v>
      </c>
      <c r="G306" t="s">
        <v>46</v>
      </c>
      <c r="H306">
        <v>1</v>
      </c>
      <c r="I306">
        <v>1</v>
      </c>
      <c r="J306">
        <v>1</v>
      </c>
      <c r="K306">
        <v>0</v>
      </c>
      <c r="L306">
        <v>0</v>
      </c>
      <c r="M306">
        <v>2</v>
      </c>
      <c r="N306">
        <v>1</v>
      </c>
      <c r="O306">
        <v>0</v>
      </c>
      <c r="Q306">
        <v>48.9</v>
      </c>
    </row>
    <row r="307" spans="1:17">
      <c r="A307" t="s">
        <v>353</v>
      </c>
      <c r="B307" s="8">
        <v>45796</v>
      </c>
      <c r="C307" t="s">
        <v>1</v>
      </c>
      <c r="D307" t="s">
        <v>39</v>
      </c>
      <c r="E307" t="s">
        <v>40</v>
      </c>
      <c r="F307" t="s">
        <v>41</v>
      </c>
      <c r="G307" t="s">
        <v>46</v>
      </c>
      <c r="H307">
        <v>0</v>
      </c>
      <c r="I307">
        <v>0</v>
      </c>
      <c r="J307">
        <v>0</v>
      </c>
      <c r="K307">
        <v>0</v>
      </c>
      <c r="L307">
        <v>0</v>
      </c>
      <c r="M307">
        <v>0</v>
      </c>
      <c r="N307">
        <v>0</v>
      </c>
      <c r="O307">
        <v>0</v>
      </c>
      <c r="Q307">
        <v>79.7</v>
      </c>
    </row>
    <row r="308" spans="1:17">
      <c r="A308" t="s">
        <v>354</v>
      </c>
      <c r="B308" s="8">
        <v>45690</v>
      </c>
      <c r="C308" t="s">
        <v>1</v>
      </c>
      <c r="D308" t="s">
        <v>34</v>
      </c>
      <c r="E308" t="s">
        <v>40</v>
      </c>
      <c r="F308" t="s">
        <v>57</v>
      </c>
      <c r="G308" t="s">
        <v>42</v>
      </c>
      <c r="H308">
        <v>1</v>
      </c>
      <c r="I308">
        <v>0</v>
      </c>
      <c r="J308">
        <v>0</v>
      </c>
      <c r="K308">
        <v>0</v>
      </c>
      <c r="L308">
        <v>0</v>
      </c>
      <c r="M308">
        <v>0</v>
      </c>
      <c r="N308">
        <v>0</v>
      </c>
      <c r="O308">
        <v>0</v>
      </c>
      <c r="Q308">
        <v>44.9</v>
      </c>
    </row>
    <row r="309" spans="1:17">
      <c r="A309" t="s">
        <v>355</v>
      </c>
      <c r="B309" s="8">
        <v>45687</v>
      </c>
      <c r="C309" t="s">
        <v>1</v>
      </c>
      <c r="D309" t="s">
        <v>39</v>
      </c>
      <c r="E309" t="s">
        <v>50</v>
      </c>
      <c r="F309" t="s">
        <v>45</v>
      </c>
      <c r="G309" t="s">
        <v>42</v>
      </c>
      <c r="H309">
        <v>1</v>
      </c>
      <c r="I309">
        <v>1</v>
      </c>
      <c r="J309">
        <v>1</v>
      </c>
      <c r="K309">
        <v>1</v>
      </c>
      <c r="L309">
        <v>409.39</v>
      </c>
      <c r="M309">
        <v>0</v>
      </c>
      <c r="N309">
        <v>0</v>
      </c>
      <c r="O309">
        <v>0</v>
      </c>
      <c r="P309">
        <v>10</v>
      </c>
      <c r="Q309">
        <v>38.799999999999997</v>
      </c>
    </row>
    <row r="310" spans="1:17">
      <c r="A310" t="s">
        <v>356</v>
      </c>
      <c r="B310" s="8">
        <v>45778</v>
      </c>
      <c r="C310" t="s">
        <v>1</v>
      </c>
      <c r="D310" t="s">
        <v>48</v>
      </c>
      <c r="E310" t="s">
        <v>35</v>
      </c>
      <c r="F310" t="s">
        <v>36</v>
      </c>
      <c r="G310" t="s">
        <v>42</v>
      </c>
      <c r="H310">
        <v>0</v>
      </c>
      <c r="I310">
        <v>0</v>
      </c>
      <c r="J310">
        <v>0</v>
      </c>
      <c r="K310">
        <v>0</v>
      </c>
      <c r="L310">
        <v>0</v>
      </c>
      <c r="M310">
        <v>0</v>
      </c>
      <c r="N310">
        <v>0</v>
      </c>
      <c r="O310">
        <v>0</v>
      </c>
      <c r="Q310">
        <v>70</v>
      </c>
    </row>
    <row r="311" spans="1:17">
      <c r="A311" t="s">
        <v>357</v>
      </c>
      <c r="B311" s="8">
        <v>45793</v>
      </c>
      <c r="C311" t="s">
        <v>1</v>
      </c>
      <c r="D311" t="s">
        <v>48</v>
      </c>
      <c r="E311" t="s">
        <v>35</v>
      </c>
      <c r="F311" t="s">
        <v>55</v>
      </c>
      <c r="G311" t="s">
        <v>37</v>
      </c>
      <c r="H311">
        <v>1</v>
      </c>
      <c r="I311">
        <v>0</v>
      </c>
      <c r="J311">
        <v>0</v>
      </c>
      <c r="K311">
        <v>0</v>
      </c>
      <c r="L311">
        <v>0</v>
      </c>
      <c r="M311">
        <v>0</v>
      </c>
      <c r="N311">
        <v>0</v>
      </c>
      <c r="O311">
        <v>0</v>
      </c>
      <c r="Q311">
        <v>77.7</v>
      </c>
    </row>
    <row r="312" spans="1:17">
      <c r="A312" t="s">
        <v>358</v>
      </c>
      <c r="B312" s="8">
        <v>45724</v>
      </c>
      <c r="C312" t="s">
        <v>1</v>
      </c>
      <c r="D312" t="s">
        <v>39</v>
      </c>
      <c r="E312" t="s">
        <v>40</v>
      </c>
      <c r="F312" t="s">
        <v>41</v>
      </c>
      <c r="G312" t="s">
        <v>42</v>
      </c>
      <c r="H312">
        <v>0</v>
      </c>
      <c r="I312">
        <v>0</v>
      </c>
      <c r="J312">
        <v>0</v>
      </c>
      <c r="K312">
        <v>0</v>
      </c>
      <c r="L312">
        <v>0</v>
      </c>
      <c r="M312">
        <v>0</v>
      </c>
      <c r="N312">
        <v>0</v>
      </c>
      <c r="O312">
        <v>0</v>
      </c>
      <c r="Q312">
        <v>71.2</v>
      </c>
    </row>
    <row r="313" spans="1:17">
      <c r="A313" t="s">
        <v>359</v>
      </c>
      <c r="B313" s="8">
        <v>45751</v>
      </c>
      <c r="C313" t="s">
        <v>1</v>
      </c>
      <c r="D313" t="s">
        <v>34</v>
      </c>
      <c r="E313" t="s">
        <v>40</v>
      </c>
      <c r="F313" t="s">
        <v>41</v>
      </c>
      <c r="G313" t="s">
        <v>37</v>
      </c>
      <c r="H313">
        <v>1</v>
      </c>
      <c r="I313">
        <v>0</v>
      </c>
      <c r="J313">
        <v>0</v>
      </c>
      <c r="K313">
        <v>0</v>
      </c>
      <c r="L313">
        <v>0</v>
      </c>
      <c r="M313">
        <v>0</v>
      </c>
      <c r="N313">
        <v>0</v>
      </c>
      <c r="O313">
        <v>0</v>
      </c>
      <c r="Q313">
        <v>43.8</v>
      </c>
    </row>
    <row r="314" spans="1:17">
      <c r="A314" t="s">
        <v>360</v>
      </c>
      <c r="B314" s="8">
        <v>45807</v>
      </c>
      <c r="C314" t="s">
        <v>1</v>
      </c>
      <c r="D314" t="s">
        <v>48</v>
      </c>
      <c r="E314" t="s">
        <v>50</v>
      </c>
      <c r="F314" t="s">
        <v>41</v>
      </c>
      <c r="G314" t="s">
        <v>42</v>
      </c>
      <c r="H314">
        <v>1</v>
      </c>
      <c r="I314">
        <v>0</v>
      </c>
      <c r="J314">
        <v>0</v>
      </c>
      <c r="K314">
        <v>0</v>
      </c>
      <c r="L314">
        <v>0</v>
      </c>
      <c r="M314">
        <v>0</v>
      </c>
      <c r="N314">
        <v>0</v>
      </c>
      <c r="O314">
        <v>0</v>
      </c>
      <c r="Q314">
        <v>50.9</v>
      </c>
    </row>
    <row r="315" spans="1:17">
      <c r="A315" t="s">
        <v>361</v>
      </c>
      <c r="B315" s="8">
        <v>45662</v>
      </c>
      <c r="C315" t="s">
        <v>1</v>
      </c>
      <c r="D315" t="s">
        <v>39</v>
      </c>
      <c r="E315" t="s">
        <v>40</v>
      </c>
      <c r="F315" t="s">
        <v>41</v>
      </c>
      <c r="G315" t="s">
        <v>46</v>
      </c>
      <c r="H315">
        <v>0</v>
      </c>
      <c r="I315">
        <v>0</v>
      </c>
      <c r="J315">
        <v>0</v>
      </c>
      <c r="K315">
        <v>0</v>
      </c>
      <c r="L315">
        <v>0</v>
      </c>
      <c r="M315">
        <v>0</v>
      </c>
      <c r="N315">
        <v>0</v>
      </c>
      <c r="O315">
        <v>0</v>
      </c>
      <c r="Q315">
        <v>58.5</v>
      </c>
    </row>
    <row r="316" spans="1:17">
      <c r="A316" t="s">
        <v>362</v>
      </c>
      <c r="B316" s="8">
        <v>45677</v>
      </c>
      <c r="C316" t="s">
        <v>1</v>
      </c>
      <c r="D316" t="s">
        <v>44</v>
      </c>
      <c r="E316" t="s">
        <v>40</v>
      </c>
      <c r="F316" t="s">
        <v>41</v>
      </c>
      <c r="G316" t="s">
        <v>42</v>
      </c>
      <c r="H316">
        <v>1</v>
      </c>
      <c r="I316">
        <v>1</v>
      </c>
      <c r="J316">
        <v>1</v>
      </c>
      <c r="K316">
        <v>0</v>
      </c>
      <c r="L316">
        <v>0</v>
      </c>
      <c r="M316">
        <v>0</v>
      </c>
      <c r="N316">
        <v>0</v>
      </c>
      <c r="O316">
        <v>0</v>
      </c>
      <c r="Q316">
        <v>53.6</v>
      </c>
    </row>
    <row r="317" spans="1:17">
      <c r="A317" t="s">
        <v>363</v>
      </c>
      <c r="B317" s="8">
        <v>45778</v>
      </c>
      <c r="C317" t="s">
        <v>1</v>
      </c>
      <c r="D317" t="s">
        <v>44</v>
      </c>
      <c r="E317" t="s">
        <v>40</v>
      </c>
      <c r="F317" t="s">
        <v>36</v>
      </c>
      <c r="G317" t="s">
        <v>42</v>
      </c>
      <c r="H317">
        <v>0</v>
      </c>
      <c r="I317">
        <v>0</v>
      </c>
      <c r="J317">
        <v>0</v>
      </c>
      <c r="K317">
        <v>0</v>
      </c>
      <c r="L317">
        <v>0</v>
      </c>
      <c r="M317">
        <v>0</v>
      </c>
      <c r="N317">
        <v>0</v>
      </c>
      <c r="O317">
        <v>0</v>
      </c>
      <c r="Q317">
        <v>54.9</v>
      </c>
    </row>
    <row r="318" spans="1:17">
      <c r="A318" t="s">
        <v>364</v>
      </c>
      <c r="B318" s="8">
        <v>45721</v>
      </c>
      <c r="C318" t="s">
        <v>1</v>
      </c>
      <c r="D318" t="s">
        <v>34</v>
      </c>
      <c r="E318" t="s">
        <v>35</v>
      </c>
      <c r="F318" t="s">
        <v>41</v>
      </c>
      <c r="G318" t="s">
        <v>46</v>
      </c>
      <c r="H318">
        <v>0</v>
      </c>
      <c r="I318">
        <v>0</v>
      </c>
      <c r="J318">
        <v>0</v>
      </c>
      <c r="K318">
        <v>0</v>
      </c>
      <c r="L318">
        <v>0</v>
      </c>
      <c r="M318">
        <v>0</v>
      </c>
      <c r="N318">
        <v>0</v>
      </c>
      <c r="O318">
        <v>0</v>
      </c>
      <c r="Q318">
        <v>57.3</v>
      </c>
    </row>
    <row r="319" spans="1:17">
      <c r="A319" t="s">
        <v>365</v>
      </c>
      <c r="B319" s="8">
        <v>45748</v>
      </c>
      <c r="C319" t="s">
        <v>1</v>
      </c>
      <c r="D319" t="s">
        <v>44</v>
      </c>
      <c r="E319" t="s">
        <v>35</v>
      </c>
      <c r="F319" t="s">
        <v>55</v>
      </c>
      <c r="G319" t="s">
        <v>42</v>
      </c>
      <c r="H319">
        <v>1</v>
      </c>
      <c r="I319">
        <v>0</v>
      </c>
      <c r="J319">
        <v>0</v>
      </c>
      <c r="K319">
        <v>0</v>
      </c>
      <c r="L319">
        <v>0</v>
      </c>
      <c r="M319">
        <v>0</v>
      </c>
      <c r="N319">
        <v>0</v>
      </c>
      <c r="O319">
        <v>0</v>
      </c>
      <c r="Q319">
        <v>52.1</v>
      </c>
    </row>
    <row r="320" spans="1:17">
      <c r="A320" t="s">
        <v>366</v>
      </c>
      <c r="B320" s="8">
        <v>45780</v>
      </c>
      <c r="C320" t="s">
        <v>1</v>
      </c>
      <c r="D320" t="s">
        <v>34</v>
      </c>
      <c r="E320" t="s">
        <v>40</v>
      </c>
      <c r="F320" t="s">
        <v>41</v>
      </c>
      <c r="G320" t="s">
        <v>42</v>
      </c>
      <c r="H320">
        <v>1</v>
      </c>
      <c r="I320">
        <v>0</v>
      </c>
      <c r="J320">
        <v>0</v>
      </c>
      <c r="K320">
        <v>0</v>
      </c>
      <c r="L320">
        <v>0</v>
      </c>
      <c r="M320">
        <v>0</v>
      </c>
      <c r="N320">
        <v>0</v>
      </c>
      <c r="O320">
        <v>0</v>
      </c>
      <c r="Q320">
        <v>80</v>
      </c>
    </row>
    <row r="321" spans="1:17">
      <c r="A321" t="s">
        <v>367</v>
      </c>
      <c r="B321" s="8">
        <v>45722</v>
      </c>
      <c r="C321" t="s">
        <v>1</v>
      </c>
      <c r="D321" t="s">
        <v>48</v>
      </c>
      <c r="E321" t="s">
        <v>35</v>
      </c>
      <c r="F321" t="s">
        <v>45</v>
      </c>
      <c r="G321" t="s">
        <v>46</v>
      </c>
      <c r="H321">
        <v>1</v>
      </c>
      <c r="I321">
        <v>0</v>
      </c>
      <c r="J321">
        <v>0</v>
      </c>
      <c r="K321">
        <v>0</v>
      </c>
      <c r="L321">
        <v>0</v>
      </c>
      <c r="M321">
        <v>0</v>
      </c>
      <c r="N321">
        <v>0</v>
      </c>
      <c r="O321">
        <v>0</v>
      </c>
      <c r="Q321">
        <v>39.299999999999997</v>
      </c>
    </row>
    <row r="322" spans="1:17">
      <c r="A322" t="s">
        <v>368</v>
      </c>
      <c r="B322" s="8">
        <v>45748</v>
      </c>
      <c r="C322" t="s">
        <v>1</v>
      </c>
      <c r="D322" t="s">
        <v>34</v>
      </c>
      <c r="E322" t="s">
        <v>35</v>
      </c>
      <c r="F322" t="s">
        <v>55</v>
      </c>
      <c r="G322" t="s">
        <v>46</v>
      </c>
      <c r="H322">
        <v>0</v>
      </c>
      <c r="I322">
        <v>0</v>
      </c>
      <c r="J322">
        <v>0</v>
      </c>
      <c r="K322">
        <v>0</v>
      </c>
      <c r="L322">
        <v>0</v>
      </c>
      <c r="M322">
        <v>0</v>
      </c>
      <c r="N322">
        <v>0</v>
      </c>
      <c r="O322">
        <v>0</v>
      </c>
      <c r="Q322">
        <v>45.7</v>
      </c>
    </row>
    <row r="323" spans="1:17">
      <c r="A323" t="s">
        <v>369</v>
      </c>
      <c r="B323" s="8">
        <v>45697</v>
      </c>
      <c r="C323" t="s">
        <v>1</v>
      </c>
      <c r="D323" t="s">
        <v>34</v>
      </c>
      <c r="E323" t="s">
        <v>35</v>
      </c>
      <c r="F323" t="s">
        <v>57</v>
      </c>
      <c r="G323" t="s">
        <v>37</v>
      </c>
      <c r="H323">
        <v>1</v>
      </c>
      <c r="I323">
        <v>0</v>
      </c>
      <c r="J323">
        <v>0</v>
      </c>
      <c r="K323">
        <v>0</v>
      </c>
      <c r="L323">
        <v>0</v>
      </c>
      <c r="M323">
        <v>2</v>
      </c>
      <c r="N323">
        <v>1</v>
      </c>
      <c r="O323">
        <v>0</v>
      </c>
      <c r="Q323">
        <v>61.2</v>
      </c>
    </row>
    <row r="324" spans="1:17">
      <c r="A324" t="s">
        <v>370</v>
      </c>
      <c r="B324" s="8">
        <v>45759</v>
      </c>
      <c r="C324" t="s">
        <v>1</v>
      </c>
      <c r="D324" t="s">
        <v>39</v>
      </c>
      <c r="E324" t="s">
        <v>40</v>
      </c>
      <c r="F324" t="s">
        <v>41</v>
      </c>
      <c r="G324" t="s">
        <v>37</v>
      </c>
      <c r="H324">
        <v>1</v>
      </c>
      <c r="I324">
        <v>1</v>
      </c>
      <c r="J324">
        <v>0</v>
      </c>
      <c r="K324">
        <v>0</v>
      </c>
      <c r="L324">
        <v>0</v>
      </c>
      <c r="M324">
        <v>0</v>
      </c>
      <c r="N324">
        <v>0</v>
      </c>
      <c r="O324">
        <v>0</v>
      </c>
      <c r="Q324">
        <v>66.2</v>
      </c>
    </row>
    <row r="325" spans="1:17">
      <c r="A325" t="s">
        <v>371</v>
      </c>
      <c r="B325" s="8">
        <v>45734</v>
      </c>
      <c r="C325" t="s">
        <v>1</v>
      </c>
      <c r="D325" t="s">
        <v>44</v>
      </c>
      <c r="E325" t="s">
        <v>40</v>
      </c>
      <c r="F325" t="s">
        <v>57</v>
      </c>
      <c r="G325" t="s">
        <v>42</v>
      </c>
      <c r="H325">
        <v>1</v>
      </c>
      <c r="I325">
        <v>1</v>
      </c>
      <c r="J325">
        <v>1</v>
      </c>
      <c r="K325">
        <v>0</v>
      </c>
      <c r="L325">
        <v>0</v>
      </c>
      <c r="M325">
        <v>0</v>
      </c>
      <c r="N325">
        <v>0</v>
      </c>
      <c r="O325">
        <v>0</v>
      </c>
      <c r="Q325">
        <v>61.3</v>
      </c>
    </row>
    <row r="326" spans="1:17">
      <c r="A326" t="s">
        <v>372</v>
      </c>
      <c r="B326" s="8">
        <v>45750</v>
      </c>
      <c r="C326" t="s">
        <v>1</v>
      </c>
      <c r="D326" t="s">
        <v>44</v>
      </c>
      <c r="E326" t="s">
        <v>40</v>
      </c>
      <c r="F326" t="s">
        <v>45</v>
      </c>
      <c r="G326" t="s">
        <v>42</v>
      </c>
      <c r="H326">
        <v>1</v>
      </c>
      <c r="I326">
        <v>0</v>
      </c>
      <c r="J326">
        <v>0</v>
      </c>
      <c r="K326">
        <v>0</v>
      </c>
      <c r="L326">
        <v>0</v>
      </c>
      <c r="M326">
        <v>0</v>
      </c>
      <c r="N326">
        <v>0</v>
      </c>
      <c r="O326">
        <v>0</v>
      </c>
      <c r="Q326">
        <v>72.2</v>
      </c>
    </row>
    <row r="327" spans="1:17">
      <c r="A327" t="s">
        <v>373</v>
      </c>
      <c r="B327" s="8">
        <v>45749</v>
      </c>
      <c r="C327" t="s">
        <v>1</v>
      </c>
      <c r="D327" t="s">
        <v>39</v>
      </c>
      <c r="E327" t="s">
        <v>40</v>
      </c>
      <c r="F327" t="s">
        <v>36</v>
      </c>
      <c r="G327" t="s">
        <v>46</v>
      </c>
      <c r="H327">
        <v>1</v>
      </c>
      <c r="I327">
        <v>1</v>
      </c>
      <c r="J327">
        <v>1</v>
      </c>
      <c r="K327">
        <v>0</v>
      </c>
      <c r="L327">
        <v>0</v>
      </c>
      <c r="M327">
        <v>0</v>
      </c>
      <c r="N327">
        <v>0</v>
      </c>
      <c r="O327">
        <v>0</v>
      </c>
      <c r="Q327">
        <v>84</v>
      </c>
    </row>
    <row r="328" spans="1:17">
      <c r="A328" t="s">
        <v>374</v>
      </c>
      <c r="B328" s="8">
        <v>45787</v>
      </c>
      <c r="C328" t="s">
        <v>1</v>
      </c>
      <c r="D328" t="s">
        <v>39</v>
      </c>
      <c r="E328" t="s">
        <v>35</v>
      </c>
      <c r="F328" t="s">
        <v>36</v>
      </c>
      <c r="G328" t="s">
        <v>37</v>
      </c>
      <c r="H328">
        <v>0</v>
      </c>
      <c r="I328">
        <v>0</v>
      </c>
      <c r="J328">
        <v>0</v>
      </c>
      <c r="K328">
        <v>0</v>
      </c>
      <c r="L328">
        <v>0</v>
      </c>
      <c r="M328">
        <v>0</v>
      </c>
      <c r="N328">
        <v>0</v>
      </c>
      <c r="O328">
        <v>0</v>
      </c>
      <c r="Q328">
        <v>59.8</v>
      </c>
    </row>
    <row r="329" spans="1:17">
      <c r="A329" t="s">
        <v>375</v>
      </c>
      <c r="B329" s="8">
        <v>45776</v>
      </c>
      <c r="C329" t="s">
        <v>1</v>
      </c>
      <c r="D329" t="s">
        <v>39</v>
      </c>
      <c r="E329" t="s">
        <v>35</v>
      </c>
      <c r="F329" t="s">
        <v>45</v>
      </c>
      <c r="G329" t="s">
        <v>42</v>
      </c>
      <c r="H329">
        <v>1</v>
      </c>
      <c r="I329">
        <v>0</v>
      </c>
      <c r="J329">
        <v>0</v>
      </c>
      <c r="K329">
        <v>0</v>
      </c>
      <c r="L329">
        <v>0</v>
      </c>
      <c r="M329">
        <v>0</v>
      </c>
      <c r="N329">
        <v>0</v>
      </c>
      <c r="O329">
        <v>0</v>
      </c>
      <c r="Q329">
        <v>64.900000000000006</v>
      </c>
    </row>
    <row r="330" spans="1:17">
      <c r="A330" t="s">
        <v>376</v>
      </c>
      <c r="B330" s="8">
        <v>45715</v>
      </c>
      <c r="C330" t="s">
        <v>1</v>
      </c>
      <c r="D330" t="s">
        <v>48</v>
      </c>
      <c r="E330" t="s">
        <v>40</v>
      </c>
      <c r="F330" t="s">
        <v>45</v>
      </c>
      <c r="G330" t="s">
        <v>42</v>
      </c>
      <c r="H330">
        <v>1</v>
      </c>
      <c r="I330">
        <v>0</v>
      </c>
      <c r="J330">
        <v>0</v>
      </c>
      <c r="K330">
        <v>0</v>
      </c>
      <c r="L330">
        <v>0</v>
      </c>
      <c r="M330">
        <v>0</v>
      </c>
      <c r="N330">
        <v>0</v>
      </c>
      <c r="O330">
        <v>0</v>
      </c>
      <c r="Q330">
        <v>66.8</v>
      </c>
    </row>
    <row r="331" spans="1:17">
      <c r="A331" t="s">
        <v>377</v>
      </c>
      <c r="B331" s="8">
        <v>45757</v>
      </c>
      <c r="C331" t="s">
        <v>1</v>
      </c>
      <c r="D331" t="s">
        <v>34</v>
      </c>
      <c r="E331" t="s">
        <v>35</v>
      </c>
      <c r="F331" t="s">
        <v>41</v>
      </c>
      <c r="G331" t="s">
        <v>46</v>
      </c>
      <c r="H331">
        <v>0</v>
      </c>
      <c r="I331">
        <v>0</v>
      </c>
      <c r="J331">
        <v>0</v>
      </c>
      <c r="K331">
        <v>0</v>
      </c>
      <c r="L331">
        <v>0</v>
      </c>
      <c r="M331">
        <v>0</v>
      </c>
      <c r="N331">
        <v>0</v>
      </c>
      <c r="O331">
        <v>0</v>
      </c>
      <c r="Q331">
        <v>70.900000000000006</v>
      </c>
    </row>
    <row r="332" spans="1:17">
      <c r="A332" t="s">
        <v>378</v>
      </c>
      <c r="B332" s="8">
        <v>45701</v>
      </c>
      <c r="C332" t="s">
        <v>1</v>
      </c>
      <c r="D332" t="s">
        <v>44</v>
      </c>
      <c r="E332" t="s">
        <v>40</v>
      </c>
      <c r="F332" t="s">
        <v>41</v>
      </c>
      <c r="G332" t="s">
        <v>42</v>
      </c>
      <c r="H332">
        <v>1</v>
      </c>
      <c r="I332">
        <v>1</v>
      </c>
      <c r="J332">
        <v>1</v>
      </c>
      <c r="K332">
        <v>1</v>
      </c>
      <c r="L332">
        <v>426.82</v>
      </c>
      <c r="M332">
        <v>1</v>
      </c>
      <c r="N332">
        <v>1</v>
      </c>
      <c r="O332">
        <v>0</v>
      </c>
      <c r="P332">
        <v>14</v>
      </c>
      <c r="Q332">
        <v>68.8</v>
      </c>
    </row>
    <row r="333" spans="1:17">
      <c r="A333" t="s">
        <v>379</v>
      </c>
      <c r="B333" s="8">
        <v>45780</v>
      </c>
      <c r="C333" t="s">
        <v>1</v>
      </c>
      <c r="D333" t="s">
        <v>34</v>
      </c>
      <c r="E333" t="s">
        <v>40</v>
      </c>
      <c r="F333" t="s">
        <v>41</v>
      </c>
      <c r="G333" t="s">
        <v>37</v>
      </c>
      <c r="H333">
        <v>1</v>
      </c>
      <c r="I333">
        <v>0</v>
      </c>
      <c r="J333">
        <v>0</v>
      </c>
      <c r="K333">
        <v>0</v>
      </c>
      <c r="L333">
        <v>0</v>
      </c>
      <c r="M333">
        <v>0</v>
      </c>
      <c r="N333">
        <v>0</v>
      </c>
      <c r="O333">
        <v>0</v>
      </c>
      <c r="Q333">
        <v>72.400000000000006</v>
      </c>
    </row>
    <row r="334" spans="1:17">
      <c r="A334" t="s">
        <v>380</v>
      </c>
      <c r="B334" s="8">
        <v>45726</v>
      </c>
      <c r="C334" t="s">
        <v>1</v>
      </c>
      <c r="D334" t="s">
        <v>44</v>
      </c>
      <c r="E334" t="s">
        <v>40</v>
      </c>
      <c r="F334" t="s">
        <v>41</v>
      </c>
      <c r="G334" t="s">
        <v>37</v>
      </c>
      <c r="H334">
        <v>0</v>
      </c>
      <c r="I334">
        <v>0</v>
      </c>
      <c r="J334">
        <v>0</v>
      </c>
      <c r="K334">
        <v>0</v>
      </c>
      <c r="L334">
        <v>0</v>
      </c>
      <c r="M334">
        <v>0</v>
      </c>
      <c r="N334">
        <v>0</v>
      </c>
      <c r="O334">
        <v>0</v>
      </c>
      <c r="Q334">
        <v>63.3</v>
      </c>
    </row>
    <row r="335" spans="1:17">
      <c r="A335" t="s">
        <v>381</v>
      </c>
      <c r="B335" s="8">
        <v>45667</v>
      </c>
      <c r="C335" t="s">
        <v>1</v>
      </c>
      <c r="D335" t="s">
        <v>39</v>
      </c>
      <c r="E335" t="s">
        <v>50</v>
      </c>
      <c r="F335" t="s">
        <v>57</v>
      </c>
      <c r="G335" t="s">
        <v>42</v>
      </c>
      <c r="H335">
        <v>1</v>
      </c>
      <c r="I335">
        <v>0</v>
      </c>
      <c r="J335">
        <v>0</v>
      </c>
      <c r="K335">
        <v>0</v>
      </c>
      <c r="L335">
        <v>0</v>
      </c>
      <c r="M335">
        <v>0</v>
      </c>
      <c r="N335">
        <v>0</v>
      </c>
      <c r="O335">
        <v>0</v>
      </c>
      <c r="Q335">
        <v>30.8</v>
      </c>
    </row>
    <row r="336" spans="1:17">
      <c r="A336" t="s">
        <v>382</v>
      </c>
      <c r="B336" s="8">
        <v>45673</v>
      </c>
      <c r="C336" t="s">
        <v>1</v>
      </c>
      <c r="D336" t="s">
        <v>48</v>
      </c>
      <c r="E336" t="s">
        <v>40</v>
      </c>
      <c r="F336" t="s">
        <v>36</v>
      </c>
      <c r="G336" t="s">
        <v>37</v>
      </c>
      <c r="H336">
        <v>1</v>
      </c>
      <c r="I336">
        <v>1</v>
      </c>
      <c r="J336">
        <v>1</v>
      </c>
      <c r="K336">
        <v>1</v>
      </c>
      <c r="L336">
        <v>874.55</v>
      </c>
      <c r="M336">
        <v>0</v>
      </c>
      <c r="N336">
        <v>0</v>
      </c>
      <c r="O336">
        <v>0</v>
      </c>
      <c r="P336">
        <v>9</v>
      </c>
      <c r="Q336">
        <v>44.2</v>
      </c>
    </row>
    <row r="337" spans="1:17">
      <c r="A337" t="s">
        <v>383</v>
      </c>
      <c r="B337" s="8">
        <v>45699</v>
      </c>
      <c r="C337" t="s">
        <v>1</v>
      </c>
      <c r="D337" t="s">
        <v>48</v>
      </c>
      <c r="E337" t="s">
        <v>35</v>
      </c>
      <c r="F337" t="s">
        <v>41</v>
      </c>
      <c r="G337" t="s">
        <v>46</v>
      </c>
      <c r="H337">
        <v>1</v>
      </c>
      <c r="I337">
        <v>1</v>
      </c>
      <c r="J337">
        <v>1</v>
      </c>
      <c r="K337">
        <v>1</v>
      </c>
      <c r="L337">
        <v>2206.88</v>
      </c>
      <c r="M337">
        <v>0</v>
      </c>
      <c r="N337">
        <v>0</v>
      </c>
      <c r="O337">
        <v>0</v>
      </c>
      <c r="P337">
        <v>10</v>
      </c>
      <c r="Q337">
        <v>56.2</v>
      </c>
    </row>
    <row r="338" spans="1:17">
      <c r="A338" t="s">
        <v>384</v>
      </c>
      <c r="B338" s="8">
        <v>45760</v>
      </c>
      <c r="C338" t="s">
        <v>1</v>
      </c>
      <c r="D338" t="s">
        <v>39</v>
      </c>
      <c r="E338" t="s">
        <v>40</v>
      </c>
      <c r="F338" t="s">
        <v>41</v>
      </c>
      <c r="G338" t="s">
        <v>42</v>
      </c>
      <c r="H338">
        <v>0</v>
      </c>
      <c r="I338">
        <v>0</v>
      </c>
      <c r="J338">
        <v>0</v>
      </c>
      <c r="K338">
        <v>0</v>
      </c>
      <c r="L338">
        <v>0</v>
      </c>
      <c r="M338">
        <v>0</v>
      </c>
      <c r="N338">
        <v>0</v>
      </c>
      <c r="O338">
        <v>0</v>
      </c>
      <c r="Q338">
        <v>40.4</v>
      </c>
    </row>
    <row r="339" spans="1:17">
      <c r="A339" t="s">
        <v>385</v>
      </c>
      <c r="B339" s="8">
        <v>45696</v>
      </c>
      <c r="C339" t="s">
        <v>1</v>
      </c>
      <c r="D339" t="s">
        <v>44</v>
      </c>
      <c r="E339" t="s">
        <v>40</v>
      </c>
      <c r="F339" t="s">
        <v>45</v>
      </c>
      <c r="G339" t="s">
        <v>42</v>
      </c>
      <c r="H339">
        <v>1</v>
      </c>
      <c r="I339">
        <v>1</v>
      </c>
      <c r="J339">
        <v>1</v>
      </c>
      <c r="K339">
        <v>0</v>
      </c>
      <c r="L339">
        <v>0</v>
      </c>
      <c r="M339">
        <v>0</v>
      </c>
      <c r="N339">
        <v>0</v>
      </c>
      <c r="O339">
        <v>0</v>
      </c>
      <c r="Q339">
        <v>68.099999999999994</v>
      </c>
    </row>
    <row r="340" spans="1:17">
      <c r="A340" t="s">
        <v>386</v>
      </c>
      <c r="B340" s="8">
        <v>45747</v>
      </c>
      <c r="C340" t="s">
        <v>1</v>
      </c>
      <c r="D340" t="s">
        <v>39</v>
      </c>
      <c r="E340" t="s">
        <v>35</v>
      </c>
      <c r="F340" t="s">
        <v>55</v>
      </c>
      <c r="G340" t="s">
        <v>42</v>
      </c>
      <c r="H340">
        <v>1</v>
      </c>
      <c r="I340">
        <v>0</v>
      </c>
      <c r="J340">
        <v>0</v>
      </c>
      <c r="K340">
        <v>0</v>
      </c>
      <c r="L340">
        <v>0</v>
      </c>
      <c r="M340">
        <v>0</v>
      </c>
      <c r="N340">
        <v>0</v>
      </c>
      <c r="O340">
        <v>0</v>
      </c>
      <c r="Q340">
        <v>86.3</v>
      </c>
    </row>
    <row r="341" spans="1:17">
      <c r="A341" t="s">
        <v>387</v>
      </c>
      <c r="B341" s="8">
        <v>45688</v>
      </c>
      <c r="C341" t="s">
        <v>1</v>
      </c>
      <c r="D341" t="s">
        <v>39</v>
      </c>
      <c r="E341" t="s">
        <v>35</v>
      </c>
      <c r="F341" t="s">
        <v>55</v>
      </c>
      <c r="G341" t="s">
        <v>42</v>
      </c>
      <c r="H341">
        <v>1</v>
      </c>
      <c r="I341">
        <v>1</v>
      </c>
      <c r="J341">
        <v>0</v>
      </c>
      <c r="K341">
        <v>0</v>
      </c>
      <c r="L341">
        <v>0</v>
      </c>
      <c r="M341">
        <v>0</v>
      </c>
      <c r="N341">
        <v>0</v>
      </c>
      <c r="O341">
        <v>0</v>
      </c>
      <c r="Q341">
        <v>42.9</v>
      </c>
    </row>
    <row r="342" spans="1:17">
      <c r="A342" t="s">
        <v>388</v>
      </c>
      <c r="B342" s="8">
        <v>45785</v>
      </c>
      <c r="C342" t="s">
        <v>1</v>
      </c>
      <c r="D342" t="s">
        <v>39</v>
      </c>
      <c r="E342" t="s">
        <v>50</v>
      </c>
      <c r="F342" t="s">
        <v>41</v>
      </c>
      <c r="G342" t="s">
        <v>42</v>
      </c>
      <c r="H342">
        <v>0</v>
      </c>
      <c r="I342">
        <v>0</v>
      </c>
      <c r="J342">
        <v>0</v>
      </c>
      <c r="K342">
        <v>0</v>
      </c>
      <c r="L342">
        <v>0</v>
      </c>
      <c r="M342">
        <v>0</v>
      </c>
      <c r="N342">
        <v>0</v>
      </c>
      <c r="O342">
        <v>0</v>
      </c>
      <c r="Q342">
        <v>61.4</v>
      </c>
    </row>
    <row r="343" spans="1:17">
      <c r="A343" t="s">
        <v>389</v>
      </c>
      <c r="B343" s="8">
        <v>45731</v>
      </c>
      <c r="C343" t="s">
        <v>1</v>
      </c>
      <c r="D343" t="s">
        <v>34</v>
      </c>
      <c r="E343" t="s">
        <v>40</v>
      </c>
      <c r="F343" t="s">
        <v>45</v>
      </c>
      <c r="G343" t="s">
        <v>42</v>
      </c>
      <c r="H343">
        <v>1</v>
      </c>
      <c r="I343">
        <v>0</v>
      </c>
      <c r="J343">
        <v>0</v>
      </c>
      <c r="K343">
        <v>0</v>
      </c>
      <c r="L343">
        <v>0</v>
      </c>
      <c r="M343">
        <v>1</v>
      </c>
      <c r="N343">
        <v>1</v>
      </c>
      <c r="O343">
        <v>0</v>
      </c>
      <c r="Q343">
        <v>73.3</v>
      </c>
    </row>
    <row r="344" spans="1:17">
      <c r="A344" t="s">
        <v>390</v>
      </c>
      <c r="B344" s="8">
        <v>45670</v>
      </c>
      <c r="C344" t="s">
        <v>1</v>
      </c>
      <c r="D344" t="s">
        <v>48</v>
      </c>
      <c r="E344" t="s">
        <v>40</v>
      </c>
      <c r="F344" t="s">
        <v>55</v>
      </c>
      <c r="G344" t="s">
        <v>37</v>
      </c>
      <c r="H344">
        <v>1</v>
      </c>
      <c r="I344">
        <v>0</v>
      </c>
      <c r="J344">
        <v>0</v>
      </c>
      <c r="K344">
        <v>0</v>
      </c>
      <c r="L344">
        <v>0</v>
      </c>
      <c r="M344">
        <v>0</v>
      </c>
      <c r="N344">
        <v>0</v>
      </c>
      <c r="O344">
        <v>0</v>
      </c>
      <c r="Q344">
        <v>59.4</v>
      </c>
    </row>
    <row r="345" spans="1:17">
      <c r="A345" t="s">
        <v>391</v>
      </c>
      <c r="B345" s="8">
        <v>45723</v>
      </c>
      <c r="C345" t="s">
        <v>1</v>
      </c>
      <c r="D345" t="s">
        <v>48</v>
      </c>
      <c r="E345" t="s">
        <v>50</v>
      </c>
      <c r="F345" t="s">
        <v>41</v>
      </c>
      <c r="G345" t="s">
        <v>37</v>
      </c>
      <c r="H345">
        <v>1</v>
      </c>
      <c r="I345">
        <v>0</v>
      </c>
      <c r="J345">
        <v>0</v>
      </c>
      <c r="K345">
        <v>0</v>
      </c>
      <c r="L345">
        <v>0</v>
      </c>
      <c r="M345">
        <v>0</v>
      </c>
      <c r="N345">
        <v>0</v>
      </c>
      <c r="O345">
        <v>0</v>
      </c>
      <c r="Q345">
        <v>35.200000000000003</v>
      </c>
    </row>
    <row r="346" spans="1:17">
      <c r="A346" t="s">
        <v>392</v>
      </c>
      <c r="B346" s="8">
        <v>45698</v>
      </c>
      <c r="C346" t="s">
        <v>1</v>
      </c>
      <c r="D346" t="s">
        <v>48</v>
      </c>
      <c r="E346" t="s">
        <v>40</v>
      </c>
      <c r="F346" t="s">
        <v>57</v>
      </c>
      <c r="G346" t="s">
        <v>46</v>
      </c>
      <c r="H346">
        <v>1</v>
      </c>
      <c r="I346">
        <v>1</v>
      </c>
      <c r="J346">
        <v>0</v>
      </c>
      <c r="K346">
        <v>0</v>
      </c>
      <c r="L346">
        <v>0</v>
      </c>
      <c r="M346">
        <v>0</v>
      </c>
      <c r="N346">
        <v>0</v>
      </c>
      <c r="O346">
        <v>0</v>
      </c>
      <c r="Q346">
        <v>55.3</v>
      </c>
    </row>
    <row r="347" spans="1:17">
      <c r="A347" t="s">
        <v>393</v>
      </c>
      <c r="B347" s="8">
        <v>45728</v>
      </c>
      <c r="C347" t="s">
        <v>1</v>
      </c>
      <c r="D347" t="s">
        <v>44</v>
      </c>
      <c r="E347" t="s">
        <v>40</v>
      </c>
      <c r="F347" t="s">
        <v>45</v>
      </c>
      <c r="G347" t="s">
        <v>42</v>
      </c>
      <c r="H347">
        <v>0</v>
      </c>
      <c r="I347">
        <v>0</v>
      </c>
      <c r="J347">
        <v>0</v>
      </c>
      <c r="K347">
        <v>0</v>
      </c>
      <c r="L347">
        <v>0</v>
      </c>
      <c r="M347">
        <v>0</v>
      </c>
      <c r="N347">
        <v>0</v>
      </c>
      <c r="O347">
        <v>0</v>
      </c>
      <c r="Q347">
        <v>37.5</v>
      </c>
    </row>
    <row r="348" spans="1:17">
      <c r="A348" t="s">
        <v>394</v>
      </c>
      <c r="B348" s="8">
        <v>45660</v>
      </c>
      <c r="C348" t="s">
        <v>1</v>
      </c>
      <c r="D348" t="s">
        <v>48</v>
      </c>
      <c r="E348" t="s">
        <v>35</v>
      </c>
      <c r="F348" t="s">
        <v>45</v>
      </c>
      <c r="G348" t="s">
        <v>42</v>
      </c>
      <c r="H348">
        <v>0</v>
      </c>
      <c r="I348">
        <v>0</v>
      </c>
      <c r="J348">
        <v>0</v>
      </c>
      <c r="K348">
        <v>0</v>
      </c>
      <c r="L348">
        <v>0</v>
      </c>
      <c r="M348">
        <v>1</v>
      </c>
      <c r="N348">
        <v>1</v>
      </c>
      <c r="O348">
        <v>0</v>
      </c>
      <c r="Q348">
        <v>66.400000000000006</v>
      </c>
    </row>
    <row r="349" spans="1:17">
      <c r="A349" t="s">
        <v>395</v>
      </c>
      <c r="B349" s="8">
        <v>45775</v>
      </c>
      <c r="C349" t="s">
        <v>1</v>
      </c>
      <c r="D349" t="s">
        <v>34</v>
      </c>
      <c r="E349" t="s">
        <v>50</v>
      </c>
      <c r="F349" t="s">
        <v>57</v>
      </c>
      <c r="G349" t="s">
        <v>37</v>
      </c>
      <c r="H349">
        <v>1</v>
      </c>
      <c r="I349">
        <v>0</v>
      </c>
      <c r="J349">
        <v>0</v>
      </c>
      <c r="K349">
        <v>0</v>
      </c>
      <c r="L349">
        <v>0</v>
      </c>
      <c r="M349">
        <v>0</v>
      </c>
      <c r="N349">
        <v>0</v>
      </c>
      <c r="O349">
        <v>0</v>
      </c>
      <c r="Q349">
        <v>61.9</v>
      </c>
    </row>
    <row r="350" spans="1:17">
      <c r="A350" t="s">
        <v>396</v>
      </c>
      <c r="B350" s="8">
        <v>45764</v>
      </c>
      <c r="C350" t="s">
        <v>1</v>
      </c>
      <c r="D350" t="s">
        <v>44</v>
      </c>
      <c r="E350" t="s">
        <v>40</v>
      </c>
      <c r="F350" t="s">
        <v>41</v>
      </c>
      <c r="G350" t="s">
        <v>42</v>
      </c>
      <c r="H350">
        <v>0</v>
      </c>
      <c r="I350">
        <v>0</v>
      </c>
      <c r="J350">
        <v>0</v>
      </c>
      <c r="K350">
        <v>0</v>
      </c>
      <c r="L350">
        <v>0</v>
      </c>
      <c r="M350">
        <v>0</v>
      </c>
      <c r="N350">
        <v>0</v>
      </c>
      <c r="O350">
        <v>0</v>
      </c>
      <c r="Q350">
        <v>56</v>
      </c>
    </row>
    <row r="351" spans="1:17">
      <c r="A351" t="s">
        <v>397</v>
      </c>
      <c r="B351" s="8">
        <v>45800</v>
      </c>
      <c r="C351" t="s">
        <v>1</v>
      </c>
      <c r="D351" t="s">
        <v>48</v>
      </c>
      <c r="E351" t="s">
        <v>35</v>
      </c>
      <c r="F351" t="s">
        <v>57</v>
      </c>
      <c r="G351" t="s">
        <v>37</v>
      </c>
      <c r="H351">
        <v>1</v>
      </c>
      <c r="I351">
        <v>0</v>
      </c>
      <c r="J351">
        <v>0</v>
      </c>
      <c r="K351">
        <v>0</v>
      </c>
      <c r="L351">
        <v>0</v>
      </c>
      <c r="M351">
        <v>0</v>
      </c>
      <c r="N351">
        <v>0</v>
      </c>
      <c r="O351">
        <v>0</v>
      </c>
      <c r="Q351">
        <v>55.5</v>
      </c>
    </row>
    <row r="352" spans="1:17">
      <c r="A352" t="s">
        <v>398</v>
      </c>
      <c r="B352" s="8">
        <v>45707</v>
      </c>
      <c r="C352" t="s">
        <v>1</v>
      </c>
      <c r="D352" t="s">
        <v>39</v>
      </c>
      <c r="E352" t="s">
        <v>50</v>
      </c>
      <c r="F352" t="s">
        <v>55</v>
      </c>
      <c r="G352" t="s">
        <v>37</v>
      </c>
      <c r="H352">
        <v>1</v>
      </c>
      <c r="I352">
        <v>0</v>
      </c>
      <c r="J352">
        <v>0</v>
      </c>
      <c r="K352">
        <v>0</v>
      </c>
      <c r="L352">
        <v>0</v>
      </c>
      <c r="M352">
        <v>0</v>
      </c>
      <c r="N352">
        <v>0</v>
      </c>
      <c r="O352">
        <v>0</v>
      </c>
      <c r="Q352">
        <v>37.200000000000003</v>
      </c>
    </row>
    <row r="353" spans="1:17">
      <c r="A353" t="s">
        <v>399</v>
      </c>
      <c r="B353" s="8">
        <v>45675</v>
      </c>
      <c r="C353" t="s">
        <v>1</v>
      </c>
      <c r="D353" t="s">
        <v>48</v>
      </c>
      <c r="E353" t="s">
        <v>35</v>
      </c>
      <c r="F353" t="s">
        <v>41</v>
      </c>
      <c r="G353" t="s">
        <v>42</v>
      </c>
      <c r="H353">
        <v>1</v>
      </c>
      <c r="I353">
        <v>1</v>
      </c>
      <c r="J353">
        <v>0</v>
      </c>
      <c r="K353">
        <v>0</v>
      </c>
      <c r="L353">
        <v>0</v>
      </c>
      <c r="M353">
        <v>1</v>
      </c>
      <c r="N353">
        <v>1</v>
      </c>
      <c r="O353">
        <v>0</v>
      </c>
      <c r="Q353">
        <v>70.5</v>
      </c>
    </row>
    <row r="354" spans="1:17">
      <c r="A354" t="s">
        <v>400</v>
      </c>
      <c r="B354" s="8">
        <v>45764</v>
      </c>
      <c r="C354" t="s">
        <v>1</v>
      </c>
      <c r="D354" t="s">
        <v>34</v>
      </c>
      <c r="E354" t="s">
        <v>40</v>
      </c>
      <c r="F354" t="s">
        <v>41</v>
      </c>
      <c r="G354" t="s">
        <v>42</v>
      </c>
      <c r="H354">
        <v>0</v>
      </c>
      <c r="I354">
        <v>0</v>
      </c>
      <c r="J354">
        <v>0</v>
      </c>
      <c r="K354">
        <v>0</v>
      </c>
      <c r="L354">
        <v>0</v>
      </c>
      <c r="M354">
        <v>0</v>
      </c>
      <c r="N354">
        <v>0</v>
      </c>
      <c r="O354">
        <v>0</v>
      </c>
      <c r="Q354">
        <v>61.2</v>
      </c>
    </row>
    <row r="355" spans="1:17">
      <c r="A355" t="s">
        <v>401</v>
      </c>
      <c r="B355" s="8">
        <v>45759</v>
      </c>
      <c r="C355" t="s">
        <v>1</v>
      </c>
      <c r="D355" t="s">
        <v>44</v>
      </c>
      <c r="E355" t="s">
        <v>50</v>
      </c>
      <c r="F355" t="s">
        <v>57</v>
      </c>
      <c r="G355" t="s">
        <v>42</v>
      </c>
      <c r="H355">
        <v>1</v>
      </c>
      <c r="I355">
        <v>1</v>
      </c>
      <c r="J355">
        <v>1</v>
      </c>
      <c r="K355">
        <v>0</v>
      </c>
      <c r="L355">
        <v>0</v>
      </c>
      <c r="M355">
        <v>0</v>
      </c>
      <c r="N355">
        <v>0</v>
      </c>
      <c r="O355">
        <v>0</v>
      </c>
      <c r="Q355">
        <v>64.599999999999994</v>
      </c>
    </row>
    <row r="356" spans="1:17">
      <c r="A356" t="s">
        <v>402</v>
      </c>
      <c r="B356" s="8">
        <v>45793</v>
      </c>
      <c r="C356" t="s">
        <v>1</v>
      </c>
      <c r="D356" t="s">
        <v>44</v>
      </c>
      <c r="E356" t="s">
        <v>40</v>
      </c>
      <c r="F356" t="s">
        <v>36</v>
      </c>
      <c r="G356" t="s">
        <v>42</v>
      </c>
      <c r="H356">
        <v>1</v>
      </c>
      <c r="I356">
        <v>1</v>
      </c>
      <c r="J356">
        <v>0</v>
      </c>
      <c r="K356">
        <v>0</v>
      </c>
      <c r="L356">
        <v>0</v>
      </c>
      <c r="M356">
        <v>0</v>
      </c>
      <c r="N356">
        <v>0</v>
      </c>
      <c r="O356">
        <v>0</v>
      </c>
      <c r="Q356">
        <v>91.7</v>
      </c>
    </row>
    <row r="357" spans="1:17">
      <c r="A357" t="s">
        <v>403</v>
      </c>
      <c r="B357" s="8">
        <v>45740</v>
      </c>
      <c r="C357" t="s">
        <v>1</v>
      </c>
      <c r="D357" t="s">
        <v>39</v>
      </c>
      <c r="E357" t="s">
        <v>40</v>
      </c>
      <c r="F357" t="s">
        <v>57</v>
      </c>
      <c r="G357" t="s">
        <v>42</v>
      </c>
      <c r="H357">
        <v>0</v>
      </c>
      <c r="I357">
        <v>0</v>
      </c>
      <c r="J357">
        <v>0</v>
      </c>
      <c r="K357">
        <v>0</v>
      </c>
      <c r="L357">
        <v>0</v>
      </c>
      <c r="M357">
        <v>0</v>
      </c>
      <c r="N357">
        <v>0</v>
      </c>
      <c r="O357">
        <v>0</v>
      </c>
      <c r="Q357">
        <v>46</v>
      </c>
    </row>
    <row r="358" spans="1:17">
      <c r="A358" t="s">
        <v>404</v>
      </c>
      <c r="B358" s="8">
        <v>45704</v>
      </c>
      <c r="C358" t="s">
        <v>1</v>
      </c>
      <c r="D358" t="s">
        <v>39</v>
      </c>
      <c r="E358" t="s">
        <v>40</v>
      </c>
      <c r="F358" t="s">
        <v>41</v>
      </c>
      <c r="G358" t="s">
        <v>37</v>
      </c>
      <c r="H358">
        <v>0</v>
      </c>
      <c r="I358">
        <v>0</v>
      </c>
      <c r="J358">
        <v>0</v>
      </c>
      <c r="K358">
        <v>0</v>
      </c>
      <c r="L358">
        <v>0</v>
      </c>
      <c r="M358">
        <v>0</v>
      </c>
      <c r="N358">
        <v>0</v>
      </c>
      <c r="O358">
        <v>0</v>
      </c>
      <c r="Q358">
        <v>50.8</v>
      </c>
    </row>
    <row r="359" spans="1:17">
      <c r="A359" t="s">
        <v>405</v>
      </c>
      <c r="B359" s="8">
        <v>45735</v>
      </c>
      <c r="C359" t="s">
        <v>1</v>
      </c>
      <c r="D359" t="s">
        <v>34</v>
      </c>
      <c r="E359" t="s">
        <v>50</v>
      </c>
      <c r="F359" t="s">
        <v>41</v>
      </c>
      <c r="G359" t="s">
        <v>42</v>
      </c>
      <c r="H359">
        <v>1</v>
      </c>
      <c r="I359">
        <v>1</v>
      </c>
      <c r="J359">
        <v>1</v>
      </c>
      <c r="K359">
        <v>0</v>
      </c>
      <c r="L359">
        <v>0</v>
      </c>
      <c r="M359">
        <v>0</v>
      </c>
      <c r="N359">
        <v>0</v>
      </c>
      <c r="O359">
        <v>0</v>
      </c>
      <c r="Q359">
        <v>52.8</v>
      </c>
    </row>
    <row r="360" spans="1:17">
      <c r="A360" t="s">
        <v>406</v>
      </c>
      <c r="B360" s="8">
        <v>45768</v>
      </c>
      <c r="C360" t="s">
        <v>1</v>
      </c>
      <c r="D360" t="s">
        <v>48</v>
      </c>
      <c r="E360" t="s">
        <v>40</v>
      </c>
      <c r="F360" t="s">
        <v>41</v>
      </c>
      <c r="G360" t="s">
        <v>37</v>
      </c>
      <c r="H360">
        <v>1</v>
      </c>
      <c r="I360">
        <v>1</v>
      </c>
      <c r="J360">
        <v>1</v>
      </c>
      <c r="K360">
        <v>0</v>
      </c>
      <c r="L360">
        <v>0</v>
      </c>
      <c r="M360">
        <v>0</v>
      </c>
      <c r="N360">
        <v>0</v>
      </c>
      <c r="O360">
        <v>0</v>
      </c>
      <c r="Q360">
        <v>63</v>
      </c>
    </row>
    <row r="361" spans="1:17">
      <c r="A361" t="s">
        <v>407</v>
      </c>
      <c r="B361" s="8">
        <v>45668</v>
      </c>
      <c r="C361" t="s">
        <v>1</v>
      </c>
      <c r="D361" t="s">
        <v>39</v>
      </c>
      <c r="E361" t="s">
        <v>40</v>
      </c>
      <c r="F361" t="s">
        <v>41</v>
      </c>
      <c r="G361" t="s">
        <v>42</v>
      </c>
      <c r="H361">
        <v>0</v>
      </c>
      <c r="I361">
        <v>0</v>
      </c>
      <c r="J361">
        <v>0</v>
      </c>
      <c r="K361">
        <v>0</v>
      </c>
      <c r="L361">
        <v>0</v>
      </c>
      <c r="M361">
        <v>0</v>
      </c>
      <c r="N361">
        <v>0</v>
      </c>
      <c r="O361">
        <v>0</v>
      </c>
      <c r="Q361">
        <v>28.4</v>
      </c>
    </row>
    <row r="362" spans="1:17">
      <c r="A362" t="s">
        <v>408</v>
      </c>
      <c r="B362" s="8">
        <v>45771</v>
      </c>
      <c r="C362" t="s">
        <v>1</v>
      </c>
      <c r="D362" t="s">
        <v>39</v>
      </c>
      <c r="E362" t="s">
        <v>35</v>
      </c>
      <c r="F362" t="s">
        <v>41</v>
      </c>
      <c r="G362" t="s">
        <v>42</v>
      </c>
      <c r="H362">
        <v>1</v>
      </c>
      <c r="I362">
        <v>1</v>
      </c>
      <c r="J362">
        <v>0</v>
      </c>
      <c r="K362">
        <v>0</v>
      </c>
      <c r="L362">
        <v>0</v>
      </c>
      <c r="M362">
        <v>0</v>
      </c>
      <c r="N362">
        <v>0</v>
      </c>
      <c r="O362">
        <v>0</v>
      </c>
      <c r="Q362">
        <v>65.599999999999994</v>
      </c>
    </row>
    <row r="363" spans="1:17">
      <c r="A363" t="s">
        <v>409</v>
      </c>
      <c r="B363" s="8">
        <v>45729</v>
      </c>
      <c r="C363" t="s">
        <v>1</v>
      </c>
      <c r="D363" t="s">
        <v>34</v>
      </c>
      <c r="E363" t="s">
        <v>40</v>
      </c>
      <c r="F363" t="s">
        <v>57</v>
      </c>
      <c r="G363" t="s">
        <v>46</v>
      </c>
      <c r="H363">
        <v>1</v>
      </c>
      <c r="I363">
        <v>1</v>
      </c>
      <c r="J363">
        <v>1</v>
      </c>
      <c r="K363">
        <v>0</v>
      </c>
      <c r="L363">
        <v>0</v>
      </c>
      <c r="M363">
        <v>0</v>
      </c>
      <c r="N363">
        <v>0</v>
      </c>
      <c r="O363">
        <v>0</v>
      </c>
      <c r="Q363">
        <v>54.7</v>
      </c>
    </row>
    <row r="364" spans="1:17">
      <c r="A364" t="s">
        <v>410</v>
      </c>
      <c r="B364" s="8">
        <v>45687</v>
      </c>
      <c r="C364" t="s">
        <v>1</v>
      </c>
      <c r="D364" t="s">
        <v>34</v>
      </c>
      <c r="E364" t="s">
        <v>40</v>
      </c>
      <c r="F364" t="s">
        <v>57</v>
      </c>
      <c r="G364" t="s">
        <v>37</v>
      </c>
      <c r="H364">
        <v>0</v>
      </c>
      <c r="I364">
        <v>0</v>
      </c>
      <c r="J364">
        <v>0</v>
      </c>
      <c r="K364">
        <v>0</v>
      </c>
      <c r="L364">
        <v>0</v>
      </c>
      <c r="M364">
        <v>0</v>
      </c>
      <c r="N364">
        <v>0</v>
      </c>
      <c r="O364">
        <v>0</v>
      </c>
      <c r="Q364">
        <v>36.1</v>
      </c>
    </row>
    <row r="365" spans="1:17">
      <c r="A365" t="s">
        <v>411</v>
      </c>
      <c r="B365" s="8">
        <v>45785</v>
      </c>
      <c r="C365" t="s">
        <v>1</v>
      </c>
      <c r="D365" t="s">
        <v>48</v>
      </c>
      <c r="E365" t="s">
        <v>40</v>
      </c>
      <c r="F365" t="s">
        <v>57</v>
      </c>
      <c r="G365" t="s">
        <v>37</v>
      </c>
      <c r="H365">
        <v>1</v>
      </c>
      <c r="I365">
        <v>1</v>
      </c>
      <c r="J365">
        <v>1</v>
      </c>
      <c r="K365">
        <v>0</v>
      </c>
      <c r="L365">
        <v>0</v>
      </c>
      <c r="M365">
        <v>0</v>
      </c>
      <c r="N365">
        <v>0</v>
      </c>
      <c r="O365">
        <v>0</v>
      </c>
      <c r="Q365">
        <v>70.400000000000006</v>
      </c>
    </row>
    <row r="366" spans="1:17">
      <c r="A366" t="s">
        <v>412</v>
      </c>
      <c r="B366" s="8">
        <v>45665</v>
      </c>
      <c r="C366" t="s">
        <v>1</v>
      </c>
      <c r="D366" t="s">
        <v>44</v>
      </c>
      <c r="E366" t="s">
        <v>35</v>
      </c>
      <c r="F366" t="s">
        <v>57</v>
      </c>
      <c r="G366" t="s">
        <v>42</v>
      </c>
      <c r="H366">
        <v>1</v>
      </c>
      <c r="I366">
        <v>0</v>
      </c>
      <c r="J366">
        <v>0</v>
      </c>
      <c r="K366">
        <v>0</v>
      </c>
      <c r="L366">
        <v>0</v>
      </c>
      <c r="M366">
        <v>0</v>
      </c>
      <c r="N366">
        <v>0</v>
      </c>
      <c r="O366">
        <v>0</v>
      </c>
      <c r="Q366">
        <v>56.4</v>
      </c>
    </row>
    <row r="367" spans="1:17">
      <c r="A367" t="s">
        <v>413</v>
      </c>
      <c r="B367" s="8">
        <v>45780</v>
      </c>
      <c r="C367" t="s">
        <v>1</v>
      </c>
      <c r="D367" t="s">
        <v>48</v>
      </c>
      <c r="E367" t="s">
        <v>40</v>
      </c>
      <c r="F367" t="s">
        <v>41</v>
      </c>
      <c r="G367" t="s">
        <v>42</v>
      </c>
      <c r="H367">
        <v>1</v>
      </c>
      <c r="I367">
        <v>0</v>
      </c>
      <c r="J367">
        <v>0</v>
      </c>
      <c r="K367">
        <v>0</v>
      </c>
      <c r="L367">
        <v>0</v>
      </c>
      <c r="M367">
        <v>0</v>
      </c>
      <c r="N367">
        <v>0</v>
      </c>
      <c r="O367">
        <v>0</v>
      </c>
      <c r="Q367">
        <v>79.2</v>
      </c>
    </row>
    <row r="368" spans="1:17">
      <c r="A368" t="s">
        <v>414</v>
      </c>
      <c r="B368" s="8">
        <v>45700</v>
      </c>
      <c r="C368" t="s">
        <v>1</v>
      </c>
      <c r="D368" t="s">
        <v>44</v>
      </c>
      <c r="E368" t="s">
        <v>40</v>
      </c>
      <c r="F368" t="s">
        <v>45</v>
      </c>
      <c r="G368" t="s">
        <v>42</v>
      </c>
      <c r="H368">
        <v>1</v>
      </c>
      <c r="I368">
        <v>1</v>
      </c>
      <c r="J368">
        <v>1</v>
      </c>
      <c r="K368">
        <v>0</v>
      </c>
      <c r="L368">
        <v>0</v>
      </c>
      <c r="M368">
        <v>0</v>
      </c>
      <c r="N368">
        <v>0</v>
      </c>
      <c r="O368">
        <v>0</v>
      </c>
      <c r="Q368">
        <v>60.1</v>
      </c>
    </row>
    <row r="369" spans="1:17">
      <c r="A369" t="s">
        <v>415</v>
      </c>
      <c r="B369" s="8">
        <v>45713</v>
      </c>
      <c r="C369" t="s">
        <v>1</v>
      </c>
      <c r="D369" t="s">
        <v>48</v>
      </c>
      <c r="E369" t="s">
        <v>50</v>
      </c>
      <c r="F369" t="s">
        <v>41</v>
      </c>
      <c r="G369" t="s">
        <v>42</v>
      </c>
      <c r="H369">
        <v>0</v>
      </c>
      <c r="I369">
        <v>0</v>
      </c>
      <c r="J369">
        <v>0</v>
      </c>
      <c r="K369">
        <v>0</v>
      </c>
      <c r="L369">
        <v>0</v>
      </c>
      <c r="M369">
        <v>0</v>
      </c>
      <c r="N369">
        <v>0</v>
      </c>
      <c r="O369">
        <v>0</v>
      </c>
      <c r="Q369">
        <v>58</v>
      </c>
    </row>
    <row r="370" spans="1:17">
      <c r="A370" t="s">
        <v>416</v>
      </c>
      <c r="B370" s="8">
        <v>45761</v>
      </c>
      <c r="C370" t="s">
        <v>1</v>
      </c>
      <c r="D370" t="s">
        <v>48</v>
      </c>
      <c r="E370" t="s">
        <v>40</v>
      </c>
      <c r="F370" t="s">
        <v>55</v>
      </c>
      <c r="G370" t="s">
        <v>42</v>
      </c>
      <c r="H370">
        <v>1</v>
      </c>
      <c r="I370">
        <v>1</v>
      </c>
      <c r="J370">
        <v>1</v>
      </c>
      <c r="K370">
        <v>0</v>
      </c>
      <c r="L370">
        <v>0</v>
      </c>
      <c r="M370">
        <v>0</v>
      </c>
      <c r="N370">
        <v>0</v>
      </c>
      <c r="O370">
        <v>0</v>
      </c>
      <c r="Q370">
        <v>69</v>
      </c>
    </row>
    <row r="371" spans="1:17">
      <c r="A371" t="s">
        <v>417</v>
      </c>
      <c r="B371" s="8">
        <v>45665</v>
      </c>
      <c r="C371" t="s">
        <v>1</v>
      </c>
      <c r="D371" t="s">
        <v>34</v>
      </c>
      <c r="E371" t="s">
        <v>40</v>
      </c>
      <c r="F371" t="s">
        <v>55</v>
      </c>
      <c r="G371" t="s">
        <v>46</v>
      </c>
      <c r="H371">
        <v>1</v>
      </c>
      <c r="I371">
        <v>1</v>
      </c>
      <c r="J371">
        <v>1</v>
      </c>
      <c r="K371">
        <v>0</v>
      </c>
      <c r="L371">
        <v>0</v>
      </c>
      <c r="M371">
        <v>1</v>
      </c>
      <c r="N371">
        <v>1</v>
      </c>
      <c r="O371">
        <v>0</v>
      </c>
      <c r="Q371">
        <v>80.8</v>
      </c>
    </row>
    <row r="372" spans="1:17">
      <c r="A372" t="s">
        <v>418</v>
      </c>
      <c r="B372" s="8">
        <v>45730</v>
      </c>
      <c r="C372" t="s">
        <v>1</v>
      </c>
      <c r="D372" t="s">
        <v>44</v>
      </c>
      <c r="E372" t="s">
        <v>40</v>
      </c>
      <c r="F372" t="s">
        <v>36</v>
      </c>
      <c r="G372" t="s">
        <v>42</v>
      </c>
      <c r="H372">
        <v>0</v>
      </c>
      <c r="I372">
        <v>0</v>
      </c>
      <c r="J372">
        <v>0</v>
      </c>
      <c r="K372">
        <v>0</v>
      </c>
      <c r="L372">
        <v>0</v>
      </c>
      <c r="M372">
        <v>0</v>
      </c>
      <c r="N372">
        <v>0</v>
      </c>
      <c r="O372">
        <v>0</v>
      </c>
      <c r="Q372">
        <v>32.799999999999997</v>
      </c>
    </row>
    <row r="373" spans="1:17">
      <c r="A373" t="s">
        <v>419</v>
      </c>
      <c r="B373" s="8">
        <v>45776</v>
      </c>
      <c r="C373" t="s">
        <v>1</v>
      </c>
      <c r="D373" t="s">
        <v>34</v>
      </c>
      <c r="E373" t="s">
        <v>35</v>
      </c>
      <c r="F373" t="s">
        <v>45</v>
      </c>
      <c r="G373" t="s">
        <v>46</v>
      </c>
      <c r="H373">
        <v>1</v>
      </c>
      <c r="I373">
        <v>0</v>
      </c>
      <c r="J373">
        <v>0</v>
      </c>
      <c r="K373">
        <v>0</v>
      </c>
      <c r="L373">
        <v>0</v>
      </c>
      <c r="M373">
        <v>0</v>
      </c>
      <c r="N373">
        <v>0</v>
      </c>
      <c r="O373">
        <v>0</v>
      </c>
      <c r="Q373">
        <v>56</v>
      </c>
    </row>
    <row r="374" spans="1:17">
      <c r="A374" t="s">
        <v>420</v>
      </c>
      <c r="B374" s="8">
        <v>45778</v>
      </c>
      <c r="C374" t="s">
        <v>1</v>
      </c>
      <c r="D374" t="s">
        <v>44</v>
      </c>
      <c r="E374" t="s">
        <v>35</v>
      </c>
      <c r="F374" t="s">
        <v>57</v>
      </c>
      <c r="G374" t="s">
        <v>42</v>
      </c>
      <c r="H374">
        <v>1</v>
      </c>
      <c r="I374">
        <v>0</v>
      </c>
      <c r="J374">
        <v>0</v>
      </c>
      <c r="K374">
        <v>0</v>
      </c>
      <c r="L374">
        <v>0</v>
      </c>
      <c r="M374">
        <v>0</v>
      </c>
      <c r="N374">
        <v>0</v>
      </c>
      <c r="O374">
        <v>0</v>
      </c>
      <c r="Q374">
        <v>76.400000000000006</v>
      </c>
    </row>
    <row r="375" spans="1:17">
      <c r="A375" t="s">
        <v>421</v>
      </c>
      <c r="B375" s="8">
        <v>45735</v>
      </c>
      <c r="C375" t="s">
        <v>1</v>
      </c>
      <c r="D375" t="s">
        <v>34</v>
      </c>
      <c r="E375" t="s">
        <v>40</v>
      </c>
      <c r="F375" t="s">
        <v>55</v>
      </c>
      <c r="G375" t="s">
        <v>42</v>
      </c>
      <c r="H375">
        <v>1</v>
      </c>
      <c r="I375">
        <v>0</v>
      </c>
      <c r="J375">
        <v>0</v>
      </c>
      <c r="K375">
        <v>0</v>
      </c>
      <c r="L375">
        <v>0</v>
      </c>
      <c r="M375">
        <v>0</v>
      </c>
      <c r="N375">
        <v>0</v>
      </c>
      <c r="O375">
        <v>0</v>
      </c>
      <c r="Q375">
        <v>28.5</v>
      </c>
    </row>
    <row r="376" spans="1:17">
      <c r="A376" t="s">
        <v>422</v>
      </c>
      <c r="B376" s="8">
        <v>45778</v>
      </c>
      <c r="C376" t="s">
        <v>1</v>
      </c>
      <c r="D376" t="s">
        <v>48</v>
      </c>
      <c r="E376" t="s">
        <v>35</v>
      </c>
      <c r="F376" t="s">
        <v>57</v>
      </c>
      <c r="G376" t="s">
        <v>37</v>
      </c>
      <c r="H376">
        <v>1</v>
      </c>
      <c r="I376">
        <v>1</v>
      </c>
      <c r="J376">
        <v>1</v>
      </c>
      <c r="K376">
        <v>0</v>
      </c>
      <c r="L376">
        <v>0</v>
      </c>
      <c r="M376">
        <v>0</v>
      </c>
      <c r="N376">
        <v>0</v>
      </c>
      <c r="O376">
        <v>0</v>
      </c>
      <c r="Q376">
        <v>48.3</v>
      </c>
    </row>
    <row r="377" spans="1:17">
      <c r="A377" t="s">
        <v>423</v>
      </c>
      <c r="B377" s="8">
        <v>45730</v>
      </c>
      <c r="C377" t="s">
        <v>1</v>
      </c>
      <c r="D377" t="s">
        <v>39</v>
      </c>
      <c r="E377" t="s">
        <v>40</v>
      </c>
      <c r="F377" t="s">
        <v>41</v>
      </c>
      <c r="G377" t="s">
        <v>42</v>
      </c>
      <c r="H377">
        <v>1</v>
      </c>
      <c r="I377">
        <v>1</v>
      </c>
      <c r="J377">
        <v>0</v>
      </c>
      <c r="K377">
        <v>0</v>
      </c>
      <c r="L377">
        <v>0</v>
      </c>
      <c r="M377">
        <v>0</v>
      </c>
      <c r="N377">
        <v>0</v>
      </c>
      <c r="O377">
        <v>0</v>
      </c>
      <c r="Q377">
        <v>43.4</v>
      </c>
    </row>
    <row r="378" spans="1:17">
      <c r="A378" t="s">
        <v>424</v>
      </c>
      <c r="B378" s="8">
        <v>45739</v>
      </c>
      <c r="C378" t="s">
        <v>1</v>
      </c>
      <c r="D378" t="s">
        <v>34</v>
      </c>
      <c r="E378" t="s">
        <v>40</v>
      </c>
      <c r="F378" t="s">
        <v>45</v>
      </c>
      <c r="G378" t="s">
        <v>42</v>
      </c>
      <c r="H378">
        <v>0</v>
      </c>
      <c r="I378">
        <v>0</v>
      </c>
      <c r="J378">
        <v>0</v>
      </c>
      <c r="K378">
        <v>0</v>
      </c>
      <c r="L378">
        <v>0</v>
      </c>
      <c r="M378">
        <v>0</v>
      </c>
      <c r="N378">
        <v>0</v>
      </c>
      <c r="O378">
        <v>0</v>
      </c>
      <c r="Q378">
        <v>43</v>
      </c>
    </row>
    <row r="379" spans="1:17">
      <c r="A379" t="s">
        <v>425</v>
      </c>
      <c r="B379" s="8">
        <v>45696</v>
      </c>
      <c r="C379" t="s">
        <v>1</v>
      </c>
      <c r="D379" t="s">
        <v>44</v>
      </c>
      <c r="E379" t="s">
        <v>40</v>
      </c>
      <c r="F379" t="s">
        <v>55</v>
      </c>
      <c r="G379" t="s">
        <v>37</v>
      </c>
      <c r="H379">
        <v>1</v>
      </c>
      <c r="I379">
        <v>1</v>
      </c>
      <c r="J379">
        <v>1</v>
      </c>
      <c r="K379">
        <v>0</v>
      </c>
      <c r="L379">
        <v>0</v>
      </c>
      <c r="M379">
        <v>0</v>
      </c>
      <c r="N379">
        <v>0</v>
      </c>
      <c r="O379">
        <v>0</v>
      </c>
      <c r="Q379">
        <v>91.8</v>
      </c>
    </row>
    <row r="380" spans="1:17">
      <c r="A380" t="s">
        <v>426</v>
      </c>
      <c r="B380" s="8">
        <v>45762</v>
      </c>
      <c r="C380" t="s">
        <v>1</v>
      </c>
      <c r="D380" t="s">
        <v>39</v>
      </c>
      <c r="E380" t="s">
        <v>50</v>
      </c>
      <c r="F380" t="s">
        <v>45</v>
      </c>
      <c r="G380" t="s">
        <v>37</v>
      </c>
      <c r="H380">
        <v>1</v>
      </c>
      <c r="I380">
        <v>0</v>
      </c>
      <c r="J380">
        <v>0</v>
      </c>
      <c r="K380">
        <v>0</v>
      </c>
      <c r="L380">
        <v>0</v>
      </c>
      <c r="M380">
        <v>1</v>
      </c>
      <c r="N380">
        <v>1</v>
      </c>
      <c r="O380">
        <v>0</v>
      </c>
      <c r="Q380">
        <v>69.3</v>
      </c>
    </row>
    <row r="381" spans="1:17">
      <c r="A381" t="s">
        <v>427</v>
      </c>
      <c r="B381" s="8">
        <v>45660</v>
      </c>
      <c r="C381" t="s">
        <v>1</v>
      </c>
      <c r="D381" t="s">
        <v>48</v>
      </c>
      <c r="E381" t="s">
        <v>35</v>
      </c>
      <c r="F381" t="s">
        <v>45</v>
      </c>
      <c r="G381" t="s">
        <v>37</v>
      </c>
      <c r="H381">
        <v>1</v>
      </c>
      <c r="I381">
        <v>0</v>
      </c>
      <c r="J381">
        <v>0</v>
      </c>
      <c r="K381">
        <v>0</v>
      </c>
      <c r="L381">
        <v>0</v>
      </c>
      <c r="M381">
        <v>0</v>
      </c>
      <c r="N381">
        <v>0</v>
      </c>
      <c r="O381">
        <v>0</v>
      </c>
      <c r="Q381">
        <v>58.9</v>
      </c>
    </row>
    <row r="382" spans="1:17">
      <c r="A382" t="s">
        <v>428</v>
      </c>
      <c r="B382" s="8">
        <v>45739</v>
      </c>
      <c r="C382" t="s">
        <v>1</v>
      </c>
      <c r="D382" t="s">
        <v>39</v>
      </c>
      <c r="E382" t="s">
        <v>40</v>
      </c>
      <c r="F382" t="s">
        <v>57</v>
      </c>
      <c r="G382" t="s">
        <v>42</v>
      </c>
      <c r="H382">
        <v>1</v>
      </c>
      <c r="I382">
        <v>1</v>
      </c>
      <c r="J382">
        <v>1</v>
      </c>
      <c r="K382">
        <v>0</v>
      </c>
      <c r="L382">
        <v>0</v>
      </c>
      <c r="M382">
        <v>0</v>
      </c>
      <c r="N382">
        <v>0</v>
      </c>
      <c r="O382">
        <v>0</v>
      </c>
      <c r="Q382">
        <v>76</v>
      </c>
    </row>
    <row r="383" spans="1:17">
      <c r="A383" t="s">
        <v>429</v>
      </c>
      <c r="B383" s="8">
        <v>45804</v>
      </c>
      <c r="C383" t="s">
        <v>1</v>
      </c>
      <c r="D383" t="s">
        <v>48</v>
      </c>
      <c r="E383" t="s">
        <v>40</v>
      </c>
      <c r="F383" t="s">
        <v>55</v>
      </c>
      <c r="G383" t="s">
        <v>46</v>
      </c>
      <c r="H383">
        <v>1</v>
      </c>
      <c r="I383">
        <v>0</v>
      </c>
      <c r="J383">
        <v>0</v>
      </c>
      <c r="K383">
        <v>0</v>
      </c>
      <c r="L383">
        <v>0</v>
      </c>
      <c r="M383">
        <v>0</v>
      </c>
      <c r="N383">
        <v>0</v>
      </c>
      <c r="O383">
        <v>0</v>
      </c>
      <c r="Q383">
        <v>46</v>
      </c>
    </row>
    <row r="384" spans="1:17">
      <c r="A384" t="s">
        <v>430</v>
      </c>
      <c r="B384" s="8">
        <v>45777</v>
      </c>
      <c r="C384" t="s">
        <v>1</v>
      </c>
      <c r="D384" t="s">
        <v>44</v>
      </c>
      <c r="E384" t="s">
        <v>40</v>
      </c>
      <c r="F384" t="s">
        <v>41</v>
      </c>
      <c r="G384" t="s">
        <v>42</v>
      </c>
      <c r="H384">
        <v>1</v>
      </c>
      <c r="I384">
        <v>0</v>
      </c>
      <c r="J384">
        <v>0</v>
      </c>
      <c r="K384">
        <v>0</v>
      </c>
      <c r="L384">
        <v>0</v>
      </c>
      <c r="M384">
        <v>0</v>
      </c>
      <c r="N384">
        <v>0</v>
      </c>
      <c r="O384">
        <v>0</v>
      </c>
      <c r="Q384">
        <v>54.1</v>
      </c>
    </row>
    <row r="385" spans="1:17">
      <c r="A385" t="s">
        <v>431</v>
      </c>
      <c r="B385" s="8">
        <v>45723</v>
      </c>
      <c r="C385" t="s">
        <v>1</v>
      </c>
      <c r="D385" t="s">
        <v>39</v>
      </c>
      <c r="E385" t="s">
        <v>40</v>
      </c>
      <c r="F385" t="s">
        <v>57</v>
      </c>
      <c r="G385" t="s">
        <v>37</v>
      </c>
      <c r="H385">
        <v>1</v>
      </c>
      <c r="I385">
        <v>0</v>
      </c>
      <c r="J385">
        <v>0</v>
      </c>
      <c r="K385">
        <v>0</v>
      </c>
      <c r="L385">
        <v>0</v>
      </c>
      <c r="M385">
        <v>0</v>
      </c>
      <c r="N385">
        <v>0</v>
      </c>
      <c r="O385">
        <v>0</v>
      </c>
      <c r="Q385">
        <v>82.4</v>
      </c>
    </row>
    <row r="386" spans="1:17">
      <c r="A386" t="s">
        <v>432</v>
      </c>
      <c r="B386" s="8">
        <v>45787</v>
      </c>
      <c r="C386" t="s">
        <v>1</v>
      </c>
      <c r="D386" t="s">
        <v>48</v>
      </c>
      <c r="E386" t="s">
        <v>40</v>
      </c>
      <c r="F386" t="s">
        <v>41</v>
      </c>
      <c r="G386" t="s">
        <v>37</v>
      </c>
      <c r="H386">
        <v>1</v>
      </c>
      <c r="I386">
        <v>1</v>
      </c>
      <c r="J386">
        <v>1</v>
      </c>
      <c r="K386">
        <v>0</v>
      </c>
      <c r="L386">
        <v>0</v>
      </c>
      <c r="M386">
        <v>0</v>
      </c>
      <c r="N386">
        <v>0</v>
      </c>
      <c r="O386">
        <v>0</v>
      </c>
      <c r="Q386">
        <v>71.900000000000006</v>
      </c>
    </row>
    <row r="387" spans="1:17">
      <c r="A387" t="s">
        <v>433</v>
      </c>
      <c r="B387" s="8">
        <v>45799</v>
      </c>
      <c r="C387" t="s">
        <v>1</v>
      </c>
      <c r="D387" t="s">
        <v>44</v>
      </c>
      <c r="E387" t="s">
        <v>40</v>
      </c>
      <c r="F387" t="s">
        <v>41</v>
      </c>
      <c r="G387" t="s">
        <v>42</v>
      </c>
      <c r="H387">
        <v>0</v>
      </c>
      <c r="I387">
        <v>0</v>
      </c>
      <c r="J387">
        <v>0</v>
      </c>
      <c r="K387">
        <v>0</v>
      </c>
      <c r="L387">
        <v>0</v>
      </c>
      <c r="M387">
        <v>2</v>
      </c>
      <c r="N387">
        <v>1</v>
      </c>
      <c r="O387">
        <v>0</v>
      </c>
      <c r="Q387">
        <v>38</v>
      </c>
    </row>
    <row r="388" spans="1:17">
      <c r="A388" t="s">
        <v>434</v>
      </c>
      <c r="B388" s="8">
        <v>45697</v>
      </c>
      <c r="C388" t="s">
        <v>1</v>
      </c>
      <c r="D388" t="s">
        <v>44</v>
      </c>
      <c r="E388" t="s">
        <v>40</v>
      </c>
      <c r="F388" t="s">
        <v>45</v>
      </c>
      <c r="G388" t="s">
        <v>42</v>
      </c>
      <c r="H388">
        <v>1</v>
      </c>
      <c r="I388">
        <v>1</v>
      </c>
      <c r="J388">
        <v>0</v>
      </c>
      <c r="K388">
        <v>0</v>
      </c>
      <c r="L388">
        <v>0</v>
      </c>
      <c r="M388">
        <v>0</v>
      </c>
      <c r="N388">
        <v>0</v>
      </c>
      <c r="O388">
        <v>0</v>
      </c>
      <c r="Q388">
        <v>43.7</v>
      </c>
    </row>
    <row r="389" spans="1:17">
      <c r="A389" t="s">
        <v>435</v>
      </c>
      <c r="B389" s="8">
        <v>45807</v>
      </c>
      <c r="C389" t="s">
        <v>1</v>
      </c>
      <c r="D389" t="s">
        <v>39</v>
      </c>
      <c r="E389" t="s">
        <v>35</v>
      </c>
      <c r="F389" t="s">
        <v>41</v>
      </c>
      <c r="G389" t="s">
        <v>46</v>
      </c>
      <c r="H389">
        <v>1</v>
      </c>
      <c r="I389">
        <v>0</v>
      </c>
      <c r="J389">
        <v>0</v>
      </c>
      <c r="K389">
        <v>0</v>
      </c>
      <c r="L389">
        <v>0</v>
      </c>
      <c r="M389">
        <v>1</v>
      </c>
      <c r="N389">
        <v>1</v>
      </c>
      <c r="O389">
        <v>0</v>
      </c>
      <c r="Q389">
        <v>32.200000000000003</v>
      </c>
    </row>
    <row r="390" spans="1:17">
      <c r="A390" t="s">
        <v>436</v>
      </c>
      <c r="B390" s="8">
        <v>45778</v>
      </c>
      <c r="C390" t="s">
        <v>1</v>
      </c>
      <c r="D390" t="s">
        <v>48</v>
      </c>
      <c r="E390" t="s">
        <v>40</v>
      </c>
      <c r="F390" t="s">
        <v>41</v>
      </c>
      <c r="G390" t="s">
        <v>46</v>
      </c>
      <c r="H390">
        <v>1</v>
      </c>
      <c r="I390">
        <v>0</v>
      </c>
      <c r="J390">
        <v>0</v>
      </c>
      <c r="K390">
        <v>0</v>
      </c>
      <c r="L390">
        <v>0</v>
      </c>
      <c r="M390">
        <v>0</v>
      </c>
      <c r="N390">
        <v>0</v>
      </c>
      <c r="O390">
        <v>0</v>
      </c>
      <c r="Q390">
        <v>61</v>
      </c>
    </row>
    <row r="391" spans="1:17">
      <c r="A391" t="s">
        <v>437</v>
      </c>
      <c r="B391" s="8">
        <v>45660</v>
      </c>
      <c r="C391" t="s">
        <v>1</v>
      </c>
      <c r="D391" t="s">
        <v>48</v>
      </c>
      <c r="E391" t="s">
        <v>40</v>
      </c>
      <c r="F391" t="s">
        <v>45</v>
      </c>
      <c r="G391" t="s">
        <v>42</v>
      </c>
      <c r="H391">
        <v>1</v>
      </c>
      <c r="I391">
        <v>0</v>
      </c>
      <c r="J391">
        <v>0</v>
      </c>
      <c r="K391">
        <v>0</v>
      </c>
      <c r="L391">
        <v>0</v>
      </c>
      <c r="M391">
        <v>0</v>
      </c>
      <c r="N391">
        <v>0</v>
      </c>
      <c r="O391">
        <v>0</v>
      </c>
      <c r="Q391">
        <v>49</v>
      </c>
    </row>
    <row r="392" spans="1:17">
      <c r="A392" t="s">
        <v>438</v>
      </c>
      <c r="B392" s="8">
        <v>45701</v>
      </c>
      <c r="C392" t="s">
        <v>1</v>
      </c>
      <c r="D392" t="s">
        <v>44</v>
      </c>
      <c r="E392" t="s">
        <v>40</v>
      </c>
      <c r="F392" t="s">
        <v>41</v>
      </c>
      <c r="G392" t="s">
        <v>42</v>
      </c>
      <c r="H392">
        <v>0</v>
      </c>
      <c r="I392">
        <v>0</v>
      </c>
      <c r="J392">
        <v>0</v>
      </c>
      <c r="K392">
        <v>0</v>
      </c>
      <c r="L392">
        <v>0</v>
      </c>
      <c r="M392">
        <v>0</v>
      </c>
      <c r="N392">
        <v>0</v>
      </c>
      <c r="O392">
        <v>0</v>
      </c>
      <c r="Q392">
        <v>48.1</v>
      </c>
    </row>
    <row r="393" spans="1:17">
      <c r="A393" t="s">
        <v>439</v>
      </c>
      <c r="B393" s="8">
        <v>45671</v>
      </c>
      <c r="C393" t="s">
        <v>1</v>
      </c>
      <c r="D393" t="s">
        <v>48</v>
      </c>
      <c r="E393" t="s">
        <v>35</v>
      </c>
      <c r="F393" t="s">
        <v>41</v>
      </c>
      <c r="G393" t="s">
        <v>42</v>
      </c>
      <c r="H393">
        <v>0</v>
      </c>
      <c r="I393">
        <v>0</v>
      </c>
      <c r="J393">
        <v>0</v>
      </c>
      <c r="K393">
        <v>0</v>
      </c>
      <c r="L393">
        <v>0</v>
      </c>
      <c r="M393">
        <v>2</v>
      </c>
      <c r="N393">
        <v>1</v>
      </c>
      <c r="O393">
        <v>0</v>
      </c>
      <c r="Q393">
        <v>46.3</v>
      </c>
    </row>
    <row r="394" spans="1:17">
      <c r="A394" t="s">
        <v>440</v>
      </c>
      <c r="B394" s="8">
        <v>45712</v>
      </c>
      <c r="C394" t="s">
        <v>1</v>
      </c>
      <c r="D394" t="s">
        <v>34</v>
      </c>
      <c r="E394" t="s">
        <v>40</v>
      </c>
      <c r="F394" t="s">
        <v>55</v>
      </c>
      <c r="G394" t="s">
        <v>42</v>
      </c>
      <c r="H394">
        <v>0</v>
      </c>
      <c r="I394">
        <v>0</v>
      </c>
      <c r="J394">
        <v>0</v>
      </c>
      <c r="K394">
        <v>0</v>
      </c>
      <c r="L394">
        <v>0</v>
      </c>
      <c r="M394">
        <v>0</v>
      </c>
      <c r="N394">
        <v>0</v>
      </c>
      <c r="O394">
        <v>0</v>
      </c>
      <c r="Q394">
        <v>64</v>
      </c>
    </row>
    <row r="395" spans="1:17">
      <c r="A395" t="s">
        <v>441</v>
      </c>
      <c r="B395" s="8">
        <v>45793</v>
      </c>
      <c r="C395" t="s">
        <v>1</v>
      </c>
      <c r="D395" t="s">
        <v>39</v>
      </c>
      <c r="E395" t="s">
        <v>35</v>
      </c>
      <c r="F395" t="s">
        <v>41</v>
      </c>
      <c r="G395" t="s">
        <v>37</v>
      </c>
      <c r="H395">
        <v>1</v>
      </c>
      <c r="I395">
        <v>1</v>
      </c>
      <c r="J395">
        <v>0</v>
      </c>
      <c r="K395">
        <v>0</v>
      </c>
      <c r="L395">
        <v>0</v>
      </c>
      <c r="M395">
        <v>0</v>
      </c>
      <c r="N395">
        <v>0</v>
      </c>
      <c r="O395">
        <v>0</v>
      </c>
      <c r="Q395">
        <v>56.2</v>
      </c>
    </row>
    <row r="396" spans="1:17">
      <c r="A396" t="s">
        <v>442</v>
      </c>
      <c r="B396" s="8">
        <v>45776</v>
      </c>
      <c r="C396" t="s">
        <v>1</v>
      </c>
      <c r="D396" t="s">
        <v>34</v>
      </c>
      <c r="E396" t="s">
        <v>40</v>
      </c>
      <c r="F396" t="s">
        <v>45</v>
      </c>
      <c r="G396" t="s">
        <v>42</v>
      </c>
      <c r="H396">
        <v>1</v>
      </c>
      <c r="I396">
        <v>1</v>
      </c>
      <c r="J396">
        <v>1</v>
      </c>
      <c r="K396">
        <v>0</v>
      </c>
      <c r="L396">
        <v>0</v>
      </c>
      <c r="M396">
        <v>0</v>
      </c>
      <c r="N396">
        <v>0</v>
      </c>
      <c r="O396">
        <v>0</v>
      </c>
      <c r="Q396">
        <v>77.5</v>
      </c>
    </row>
    <row r="397" spans="1:17">
      <c r="A397" t="s">
        <v>443</v>
      </c>
      <c r="B397" s="8">
        <v>45777</v>
      </c>
      <c r="C397" t="s">
        <v>1</v>
      </c>
      <c r="D397" t="s">
        <v>48</v>
      </c>
      <c r="E397" t="s">
        <v>35</v>
      </c>
      <c r="F397" t="s">
        <v>36</v>
      </c>
      <c r="G397" t="s">
        <v>37</v>
      </c>
      <c r="H397">
        <v>1</v>
      </c>
      <c r="I397">
        <v>0</v>
      </c>
      <c r="J397">
        <v>0</v>
      </c>
      <c r="K397">
        <v>0</v>
      </c>
      <c r="L397">
        <v>0</v>
      </c>
      <c r="M397">
        <v>0</v>
      </c>
      <c r="N397">
        <v>0</v>
      </c>
      <c r="O397">
        <v>0</v>
      </c>
      <c r="Q397">
        <v>59.9</v>
      </c>
    </row>
    <row r="398" spans="1:17">
      <c r="A398" t="s">
        <v>444</v>
      </c>
      <c r="B398" s="8">
        <v>45666</v>
      </c>
      <c r="C398" t="s">
        <v>1</v>
      </c>
      <c r="D398" t="s">
        <v>48</v>
      </c>
      <c r="E398" t="s">
        <v>35</v>
      </c>
      <c r="F398" t="s">
        <v>41</v>
      </c>
      <c r="G398" t="s">
        <v>42</v>
      </c>
      <c r="H398">
        <v>1</v>
      </c>
      <c r="I398">
        <v>1</v>
      </c>
      <c r="J398">
        <v>0</v>
      </c>
      <c r="K398">
        <v>0</v>
      </c>
      <c r="L398">
        <v>0</v>
      </c>
      <c r="M398">
        <v>0</v>
      </c>
      <c r="N398">
        <v>0</v>
      </c>
      <c r="O398">
        <v>0</v>
      </c>
      <c r="Q398">
        <v>63</v>
      </c>
    </row>
    <row r="399" spans="1:17">
      <c r="A399" t="s">
        <v>445</v>
      </c>
      <c r="B399" s="8">
        <v>45772</v>
      </c>
      <c r="C399" t="s">
        <v>1</v>
      </c>
      <c r="D399" t="s">
        <v>48</v>
      </c>
      <c r="E399" t="s">
        <v>40</v>
      </c>
      <c r="F399" t="s">
        <v>41</v>
      </c>
      <c r="G399" t="s">
        <v>42</v>
      </c>
      <c r="H399">
        <v>1</v>
      </c>
      <c r="I399">
        <v>1</v>
      </c>
      <c r="J399">
        <v>0</v>
      </c>
      <c r="K399">
        <v>0</v>
      </c>
      <c r="L399">
        <v>0</v>
      </c>
      <c r="M399">
        <v>0</v>
      </c>
      <c r="N399">
        <v>0</v>
      </c>
      <c r="O399">
        <v>0</v>
      </c>
      <c r="Q399">
        <v>76.5</v>
      </c>
    </row>
    <row r="400" spans="1:17">
      <c r="A400" t="s">
        <v>446</v>
      </c>
      <c r="B400" s="8">
        <v>45728</v>
      </c>
      <c r="C400" t="s">
        <v>1</v>
      </c>
      <c r="D400" t="s">
        <v>34</v>
      </c>
      <c r="E400" t="s">
        <v>35</v>
      </c>
      <c r="F400" t="s">
        <v>45</v>
      </c>
      <c r="G400" t="s">
        <v>42</v>
      </c>
      <c r="H400">
        <v>1</v>
      </c>
      <c r="I400">
        <v>0</v>
      </c>
      <c r="J400">
        <v>0</v>
      </c>
      <c r="K400">
        <v>0</v>
      </c>
      <c r="L400">
        <v>0</v>
      </c>
      <c r="M400">
        <v>0</v>
      </c>
      <c r="N400">
        <v>0</v>
      </c>
      <c r="O400">
        <v>0</v>
      </c>
      <c r="Q400">
        <v>39.700000000000003</v>
      </c>
    </row>
    <row r="401" spans="1:17">
      <c r="A401" t="s">
        <v>447</v>
      </c>
      <c r="B401" s="8">
        <v>45736</v>
      </c>
      <c r="C401" t="s">
        <v>1</v>
      </c>
      <c r="D401" t="s">
        <v>34</v>
      </c>
      <c r="E401" t="s">
        <v>40</v>
      </c>
      <c r="F401" t="s">
        <v>41</v>
      </c>
      <c r="G401" t="s">
        <v>42</v>
      </c>
      <c r="H401">
        <v>1</v>
      </c>
      <c r="I401">
        <v>1</v>
      </c>
      <c r="J401">
        <v>0</v>
      </c>
      <c r="K401">
        <v>0</v>
      </c>
      <c r="L401">
        <v>0</v>
      </c>
      <c r="M401">
        <v>0</v>
      </c>
      <c r="N401">
        <v>0</v>
      </c>
      <c r="O401">
        <v>0</v>
      </c>
      <c r="Q401">
        <v>80.2</v>
      </c>
    </row>
    <row r="402" spans="1:17">
      <c r="A402" t="s">
        <v>448</v>
      </c>
      <c r="B402" s="8">
        <v>45706</v>
      </c>
      <c r="C402" t="s">
        <v>1</v>
      </c>
      <c r="D402" t="s">
        <v>39</v>
      </c>
      <c r="E402" t="s">
        <v>40</v>
      </c>
      <c r="F402" t="s">
        <v>45</v>
      </c>
      <c r="G402" t="s">
        <v>42</v>
      </c>
      <c r="H402">
        <v>1</v>
      </c>
      <c r="I402">
        <v>0</v>
      </c>
      <c r="J402">
        <v>0</v>
      </c>
      <c r="K402">
        <v>0</v>
      </c>
      <c r="L402">
        <v>0</v>
      </c>
      <c r="M402">
        <v>0</v>
      </c>
      <c r="N402">
        <v>0</v>
      </c>
      <c r="O402">
        <v>0</v>
      </c>
      <c r="Q402">
        <v>72.2</v>
      </c>
    </row>
    <row r="403" spans="1:17">
      <c r="A403" t="s">
        <v>449</v>
      </c>
      <c r="B403" s="8">
        <v>45679</v>
      </c>
      <c r="C403" t="s">
        <v>1</v>
      </c>
      <c r="D403" t="s">
        <v>34</v>
      </c>
      <c r="E403" t="s">
        <v>40</v>
      </c>
      <c r="F403" t="s">
        <v>57</v>
      </c>
      <c r="G403" t="s">
        <v>37</v>
      </c>
      <c r="H403">
        <v>0</v>
      </c>
      <c r="I403">
        <v>0</v>
      </c>
      <c r="J403">
        <v>0</v>
      </c>
      <c r="K403">
        <v>0</v>
      </c>
      <c r="L403">
        <v>0</v>
      </c>
      <c r="M403">
        <v>0</v>
      </c>
      <c r="N403">
        <v>0</v>
      </c>
      <c r="O403">
        <v>0</v>
      </c>
      <c r="Q403">
        <v>56</v>
      </c>
    </row>
    <row r="404" spans="1:17">
      <c r="A404" t="s">
        <v>450</v>
      </c>
      <c r="B404" s="8">
        <v>45696</v>
      </c>
      <c r="C404" t="s">
        <v>1</v>
      </c>
      <c r="D404" t="s">
        <v>39</v>
      </c>
      <c r="E404" t="s">
        <v>40</v>
      </c>
      <c r="F404" t="s">
        <v>36</v>
      </c>
      <c r="G404" t="s">
        <v>37</v>
      </c>
      <c r="H404">
        <v>1</v>
      </c>
      <c r="I404">
        <v>1</v>
      </c>
      <c r="J404">
        <v>1</v>
      </c>
      <c r="K404">
        <v>0</v>
      </c>
      <c r="L404">
        <v>0</v>
      </c>
      <c r="M404">
        <v>0</v>
      </c>
      <c r="N404">
        <v>0</v>
      </c>
      <c r="O404">
        <v>0</v>
      </c>
      <c r="Q404">
        <v>69.099999999999994</v>
      </c>
    </row>
    <row r="405" spans="1:17">
      <c r="A405" t="s">
        <v>451</v>
      </c>
      <c r="B405" s="8">
        <v>45677</v>
      </c>
      <c r="C405" t="s">
        <v>1</v>
      </c>
      <c r="D405" t="s">
        <v>34</v>
      </c>
      <c r="E405" t="s">
        <v>40</v>
      </c>
      <c r="F405" t="s">
        <v>36</v>
      </c>
      <c r="G405" t="s">
        <v>46</v>
      </c>
      <c r="H405">
        <v>0</v>
      </c>
      <c r="I405">
        <v>0</v>
      </c>
      <c r="J405">
        <v>0</v>
      </c>
      <c r="K405">
        <v>0</v>
      </c>
      <c r="L405">
        <v>0</v>
      </c>
      <c r="M405">
        <v>1</v>
      </c>
      <c r="N405">
        <v>1</v>
      </c>
      <c r="O405">
        <v>0</v>
      </c>
      <c r="Q405">
        <v>70.599999999999994</v>
      </c>
    </row>
    <row r="406" spans="1:17">
      <c r="A406" t="s">
        <v>452</v>
      </c>
      <c r="B406" s="8">
        <v>45769</v>
      </c>
      <c r="C406" t="s">
        <v>1</v>
      </c>
      <c r="D406" t="s">
        <v>39</v>
      </c>
      <c r="E406" t="s">
        <v>35</v>
      </c>
      <c r="F406" t="s">
        <v>55</v>
      </c>
      <c r="G406" t="s">
        <v>42</v>
      </c>
      <c r="H406">
        <v>1</v>
      </c>
      <c r="I406">
        <v>0</v>
      </c>
      <c r="J406">
        <v>0</v>
      </c>
      <c r="K406">
        <v>0</v>
      </c>
      <c r="L406">
        <v>0</v>
      </c>
      <c r="M406">
        <v>0</v>
      </c>
      <c r="N406">
        <v>0</v>
      </c>
      <c r="O406">
        <v>0</v>
      </c>
      <c r="Q406">
        <v>57.9</v>
      </c>
    </row>
    <row r="407" spans="1:17">
      <c r="A407" t="s">
        <v>453</v>
      </c>
      <c r="B407" s="8">
        <v>45679</v>
      </c>
      <c r="C407" t="s">
        <v>1</v>
      </c>
      <c r="D407" t="s">
        <v>44</v>
      </c>
      <c r="E407" t="s">
        <v>40</v>
      </c>
      <c r="F407" t="s">
        <v>41</v>
      </c>
      <c r="G407" t="s">
        <v>37</v>
      </c>
      <c r="H407">
        <v>1</v>
      </c>
      <c r="I407">
        <v>1</v>
      </c>
      <c r="J407">
        <v>0</v>
      </c>
      <c r="K407">
        <v>0</v>
      </c>
      <c r="L407">
        <v>0</v>
      </c>
      <c r="M407">
        <v>0</v>
      </c>
      <c r="N407">
        <v>0</v>
      </c>
      <c r="O407">
        <v>0</v>
      </c>
      <c r="Q407">
        <v>41.4</v>
      </c>
    </row>
    <row r="408" spans="1:17">
      <c r="A408" t="s">
        <v>454</v>
      </c>
      <c r="B408" s="8">
        <v>45788</v>
      </c>
      <c r="C408" t="s">
        <v>1</v>
      </c>
      <c r="D408" t="s">
        <v>39</v>
      </c>
      <c r="E408" t="s">
        <v>40</v>
      </c>
      <c r="F408" t="s">
        <v>41</v>
      </c>
      <c r="G408" t="s">
        <v>37</v>
      </c>
      <c r="H408">
        <v>1</v>
      </c>
      <c r="I408">
        <v>0</v>
      </c>
      <c r="J408">
        <v>0</v>
      </c>
      <c r="K408">
        <v>0</v>
      </c>
      <c r="L408">
        <v>0</v>
      </c>
      <c r="M408">
        <v>0</v>
      </c>
      <c r="N408">
        <v>0</v>
      </c>
      <c r="O408">
        <v>0</v>
      </c>
      <c r="Q408">
        <v>60.9</v>
      </c>
    </row>
    <row r="409" spans="1:17">
      <c r="A409" t="s">
        <v>455</v>
      </c>
      <c r="B409" s="8">
        <v>45694</v>
      </c>
      <c r="C409" t="s">
        <v>1</v>
      </c>
      <c r="D409" t="s">
        <v>48</v>
      </c>
      <c r="E409" t="s">
        <v>40</v>
      </c>
      <c r="F409" t="s">
        <v>41</v>
      </c>
      <c r="G409" t="s">
        <v>37</v>
      </c>
      <c r="H409">
        <v>0</v>
      </c>
      <c r="I409">
        <v>0</v>
      </c>
      <c r="J409">
        <v>0</v>
      </c>
      <c r="K409">
        <v>0</v>
      </c>
      <c r="L409">
        <v>0</v>
      </c>
      <c r="M409">
        <v>1</v>
      </c>
      <c r="N409">
        <v>1</v>
      </c>
      <c r="O409">
        <v>0</v>
      </c>
      <c r="Q409">
        <v>63.8</v>
      </c>
    </row>
    <row r="410" spans="1:17">
      <c r="A410" t="s">
        <v>456</v>
      </c>
      <c r="B410" s="8">
        <v>45709</v>
      </c>
      <c r="C410" t="s">
        <v>1</v>
      </c>
      <c r="D410" t="s">
        <v>34</v>
      </c>
      <c r="E410" t="s">
        <v>35</v>
      </c>
      <c r="F410" t="s">
        <v>41</v>
      </c>
      <c r="G410" t="s">
        <v>46</v>
      </c>
      <c r="H410">
        <v>1</v>
      </c>
      <c r="I410">
        <v>0</v>
      </c>
      <c r="J410">
        <v>0</v>
      </c>
      <c r="K410">
        <v>0</v>
      </c>
      <c r="L410">
        <v>0</v>
      </c>
      <c r="M410">
        <v>0</v>
      </c>
      <c r="N410">
        <v>0</v>
      </c>
      <c r="O410">
        <v>0</v>
      </c>
      <c r="Q410">
        <v>79.2</v>
      </c>
    </row>
    <row r="411" spans="1:17">
      <c r="A411" t="s">
        <v>457</v>
      </c>
      <c r="B411" s="8">
        <v>45670</v>
      </c>
      <c r="C411" t="s">
        <v>1</v>
      </c>
      <c r="D411" t="s">
        <v>39</v>
      </c>
      <c r="E411" t="s">
        <v>40</v>
      </c>
      <c r="F411" t="s">
        <v>36</v>
      </c>
      <c r="G411" t="s">
        <v>46</v>
      </c>
      <c r="H411">
        <v>1</v>
      </c>
      <c r="I411">
        <v>1</v>
      </c>
      <c r="J411">
        <v>1</v>
      </c>
      <c r="K411">
        <v>0</v>
      </c>
      <c r="L411">
        <v>0</v>
      </c>
      <c r="M411">
        <v>0</v>
      </c>
      <c r="N411">
        <v>0</v>
      </c>
      <c r="O411">
        <v>0</v>
      </c>
      <c r="Q411">
        <v>53.3</v>
      </c>
    </row>
    <row r="412" spans="1:17">
      <c r="A412" t="s">
        <v>458</v>
      </c>
      <c r="B412" s="8">
        <v>45723</v>
      </c>
      <c r="C412" t="s">
        <v>1</v>
      </c>
      <c r="D412" t="s">
        <v>34</v>
      </c>
      <c r="E412" t="s">
        <v>40</v>
      </c>
      <c r="F412" t="s">
        <v>55</v>
      </c>
      <c r="G412" t="s">
        <v>46</v>
      </c>
      <c r="H412">
        <v>1</v>
      </c>
      <c r="I412">
        <v>1</v>
      </c>
      <c r="J412">
        <v>1</v>
      </c>
      <c r="K412">
        <v>1</v>
      </c>
      <c r="L412">
        <v>2144.8200000000002</v>
      </c>
      <c r="M412">
        <v>0</v>
      </c>
      <c r="N412">
        <v>0</v>
      </c>
      <c r="O412">
        <v>0</v>
      </c>
      <c r="P412">
        <v>6</v>
      </c>
      <c r="Q412">
        <v>52.3</v>
      </c>
    </row>
    <row r="413" spans="1:17">
      <c r="A413" t="s">
        <v>459</v>
      </c>
      <c r="B413" s="8">
        <v>45714</v>
      </c>
      <c r="C413" t="s">
        <v>1</v>
      </c>
      <c r="D413" t="s">
        <v>39</v>
      </c>
      <c r="E413" t="s">
        <v>35</v>
      </c>
      <c r="F413" t="s">
        <v>41</v>
      </c>
      <c r="G413" t="s">
        <v>37</v>
      </c>
      <c r="H413">
        <v>1</v>
      </c>
      <c r="I413">
        <v>1</v>
      </c>
      <c r="J413">
        <v>0</v>
      </c>
      <c r="K413">
        <v>0</v>
      </c>
      <c r="L413">
        <v>0</v>
      </c>
      <c r="M413">
        <v>0</v>
      </c>
      <c r="N413">
        <v>0</v>
      </c>
      <c r="O413">
        <v>0</v>
      </c>
      <c r="Q413">
        <v>62.4</v>
      </c>
    </row>
    <row r="414" spans="1:17">
      <c r="A414" t="s">
        <v>460</v>
      </c>
      <c r="B414" s="8">
        <v>45782</v>
      </c>
      <c r="C414" t="s">
        <v>1</v>
      </c>
      <c r="D414" t="s">
        <v>34</v>
      </c>
      <c r="E414" t="s">
        <v>40</v>
      </c>
      <c r="F414" t="s">
        <v>55</v>
      </c>
      <c r="G414" t="s">
        <v>46</v>
      </c>
      <c r="H414">
        <v>1</v>
      </c>
      <c r="I414">
        <v>0</v>
      </c>
      <c r="J414">
        <v>0</v>
      </c>
      <c r="K414">
        <v>0</v>
      </c>
      <c r="L414">
        <v>0</v>
      </c>
      <c r="M414">
        <v>0</v>
      </c>
      <c r="N414">
        <v>0</v>
      </c>
      <c r="O414">
        <v>0</v>
      </c>
      <c r="Q414">
        <v>45.5</v>
      </c>
    </row>
    <row r="415" spans="1:17">
      <c r="A415" t="s">
        <v>461</v>
      </c>
      <c r="B415" s="8">
        <v>45665</v>
      </c>
      <c r="C415" t="s">
        <v>1</v>
      </c>
      <c r="D415" t="s">
        <v>44</v>
      </c>
      <c r="E415" t="s">
        <v>35</v>
      </c>
      <c r="F415" t="s">
        <v>41</v>
      </c>
      <c r="G415" t="s">
        <v>37</v>
      </c>
      <c r="H415">
        <v>0</v>
      </c>
      <c r="I415">
        <v>0</v>
      </c>
      <c r="J415">
        <v>0</v>
      </c>
      <c r="K415">
        <v>0</v>
      </c>
      <c r="L415">
        <v>0</v>
      </c>
      <c r="M415">
        <v>1</v>
      </c>
      <c r="N415">
        <v>1</v>
      </c>
      <c r="O415">
        <v>0</v>
      </c>
      <c r="Q415">
        <v>72.599999999999994</v>
      </c>
    </row>
    <row r="416" spans="1:17">
      <c r="A416" t="s">
        <v>462</v>
      </c>
      <c r="B416" s="8">
        <v>45735</v>
      </c>
      <c r="C416" t="s">
        <v>1</v>
      </c>
      <c r="D416" t="s">
        <v>48</v>
      </c>
      <c r="E416" t="s">
        <v>40</v>
      </c>
      <c r="F416" t="s">
        <v>36</v>
      </c>
      <c r="G416" t="s">
        <v>46</v>
      </c>
      <c r="H416">
        <v>1</v>
      </c>
      <c r="I416">
        <v>1</v>
      </c>
      <c r="J416">
        <v>1</v>
      </c>
      <c r="K416">
        <v>0</v>
      </c>
      <c r="L416">
        <v>0</v>
      </c>
      <c r="M416">
        <v>0</v>
      </c>
      <c r="N416">
        <v>0</v>
      </c>
      <c r="O416">
        <v>0</v>
      </c>
      <c r="Q416">
        <v>50.1</v>
      </c>
    </row>
    <row r="417" spans="1:17">
      <c r="A417" t="s">
        <v>463</v>
      </c>
      <c r="B417" s="8">
        <v>45687</v>
      </c>
      <c r="C417" t="s">
        <v>1</v>
      </c>
      <c r="D417" t="s">
        <v>44</v>
      </c>
      <c r="E417" t="s">
        <v>35</v>
      </c>
      <c r="F417" t="s">
        <v>45</v>
      </c>
      <c r="G417" t="s">
        <v>42</v>
      </c>
      <c r="H417">
        <v>1</v>
      </c>
      <c r="I417">
        <v>1</v>
      </c>
      <c r="J417">
        <v>1</v>
      </c>
      <c r="K417">
        <v>0</v>
      </c>
      <c r="L417">
        <v>0</v>
      </c>
      <c r="M417">
        <v>2</v>
      </c>
      <c r="N417">
        <v>1</v>
      </c>
      <c r="O417">
        <v>0</v>
      </c>
      <c r="Q417">
        <v>58.1</v>
      </c>
    </row>
    <row r="418" spans="1:17">
      <c r="A418" t="s">
        <v>464</v>
      </c>
      <c r="B418" s="8">
        <v>45775</v>
      </c>
      <c r="C418" t="s">
        <v>1</v>
      </c>
      <c r="D418" t="s">
        <v>44</v>
      </c>
      <c r="E418" t="s">
        <v>40</v>
      </c>
      <c r="F418" t="s">
        <v>41</v>
      </c>
      <c r="G418" t="s">
        <v>37</v>
      </c>
      <c r="H418">
        <v>1</v>
      </c>
      <c r="I418">
        <v>0</v>
      </c>
      <c r="J418">
        <v>0</v>
      </c>
      <c r="K418">
        <v>0</v>
      </c>
      <c r="L418">
        <v>0</v>
      </c>
      <c r="M418">
        <v>0</v>
      </c>
      <c r="N418">
        <v>0</v>
      </c>
      <c r="O418">
        <v>0</v>
      </c>
      <c r="Q418">
        <v>42.9</v>
      </c>
    </row>
    <row r="419" spans="1:17">
      <c r="A419" t="s">
        <v>465</v>
      </c>
      <c r="B419" s="8">
        <v>45723</v>
      </c>
      <c r="C419" t="s">
        <v>1</v>
      </c>
      <c r="D419" t="s">
        <v>34</v>
      </c>
      <c r="E419" t="s">
        <v>40</v>
      </c>
      <c r="F419" t="s">
        <v>55</v>
      </c>
      <c r="G419" t="s">
        <v>37</v>
      </c>
      <c r="H419">
        <v>0</v>
      </c>
      <c r="I419">
        <v>0</v>
      </c>
      <c r="J419">
        <v>0</v>
      </c>
      <c r="K419">
        <v>0</v>
      </c>
      <c r="L419">
        <v>0</v>
      </c>
      <c r="M419">
        <v>0</v>
      </c>
      <c r="N419">
        <v>0</v>
      </c>
      <c r="O419">
        <v>0</v>
      </c>
      <c r="Q419">
        <v>69.7</v>
      </c>
    </row>
    <row r="420" spans="1:17">
      <c r="A420" t="s">
        <v>466</v>
      </c>
      <c r="B420" s="8">
        <v>45754</v>
      </c>
      <c r="C420" t="s">
        <v>1</v>
      </c>
      <c r="D420" t="s">
        <v>34</v>
      </c>
      <c r="E420" t="s">
        <v>35</v>
      </c>
      <c r="F420" t="s">
        <v>41</v>
      </c>
      <c r="G420" t="s">
        <v>42</v>
      </c>
      <c r="H420">
        <v>0</v>
      </c>
      <c r="I420">
        <v>0</v>
      </c>
      <c r="J420">
        <v>0</v>
      </c>
      <c r="K420">
        <v>0</v>
      </c>
      <c r="L420">
        <v>0</v>
      </c>
      <c r="M420">
        <v>0</v>
      </c>
      <c r="N420">
        <v>0</v>
      </c>
      <c r="O420">
        <v>0</v>
      </c>
      <c r="Q420">
        <v>63.3</v>
      </c>
    </row>
    <row r="421" spans="1:17">
      <c r="A421" t="s">
        <v>467</v>
      </c>
      <c r="B421" s="8">
        <v>45785</v>
      </c>
      <c r="C421" t="s">
        <v>1</v>
      </c>
      <c r="D421" t="s">
        <v>34</v>
      </c>
      <c r="E421" t="s">
        <v>35</v>
      </c>
      <c r="F421" t="s">
        <v>41</v>
      </c>
      <c r="G421" t="s">
        <v>46</v>
      </c>
      <c r="H421">
        <v>1</v>
      </c>
      <c r="I421">
        <v>0</v>
      </c>
      <c r="J421">
        <v>0</v>
      </c>
      <c r="K421">
        <v>0</v>
      </c>
      <c r="L421">
        <v>0</v>
      </c>
      <c r="M421">
        <v>0</v>
      </c>
      <c r="N421">
        <v>0</v>
      </c>
      <c r="O421">
        <v>0</v>
      </c>
      <c r="Q421">
        <v>71.2</v>
      </c>
    </row>
    <row r="422" spans="1:17">
      <c r="A422" t="s">
        <v>468</v>
      </c>
      <c r="B422" s="8">
        <v>45762</v>
      </c>
      <c r="C422" t="s">
        <v>1</v>
      </c>
      <c r="D422" t="s">
        <v>48</v>
      </c>
      <c r="E422" t="s">
        <v>40</v>
      </c>
      <c r="F422" t="s">
        <v>36</v>
      </c>
      <c r="G422" t="s">
        <v>42</v>
      </c>
      <c r="H422">
        <v>1</v>
      </c>
      <c r="I422">
        <v>0</v>
      </c>
      <c r="J422">
        <v>0</v>
      </c>
      <c r="K422">
        <v>0</v>
      </c>
      <c r="L422">
        <v>0</v>
      </c>
      <c r="M422">
        <v>0</v>
      </c>
      <c r="N422">
        <v>0</v>
      </c>
      <c r="O422">
        <v>0</v>
      </c>
      <c r="Q422">
        <v>39.1</v>
      </c>
    </row>
    <row r="423" spans="1:17">
      <c r="A423" t="s">
        <v>469</v>
      </c>
      <c r="B423" s="8">
        <v>45767</v>
      </c>
      <c r="C423" t="s">
        <v>1</v>
      </c>
      <c r="D423" t="s">
        <v>44</v>
      </c>
      <c r="E423" t="s">
        <v>35</v>
      </c>
      <c r="F423" t="s">
        <v>57</v>
      </c>
      <c r="G423" t="s">
        <v>42</v>
      </c>
      <c r="H423">
        <v>1</v>
      </c>
      <c r="I423">
        <v>0</v>
      </c>
      <c r="J423">
        <v>0</v>
      </c>
      <c r="K423">
        <v>0</v>
      </c>
      <c r="L423">
        <v>0</v>
      </c>
      <c r="M423">
        <v>0</v>
      </c>
      <c r="N423">
        <v>0</v>
      </c>
      <c r="O423">
        <v>0</v>
      </c>
      <c r="Q423">
        <v>42.6</v>
      </c>
    </row>
    <row r="424" spans="1:17">
      <c r="A424" t="s">
        <v>470</v>
      </c>
      <c r="B424" s="8">
        <v>45807</v>
      </c>
      <c r="C424" t="s">
        <v>1</v>
      </c>
      <c r="D424" t="s">
        <v>48</v>
      </c>
      <c r="E424" t="s">
        <v>50</v>
      </c>
      <c r="F424" t="s">
        <v>41</v>
      </c>
      <c r="G424" t="s">
        <v>42</v>
      </c>
      <c r="H424">
        <v>0</v>
      </c>
      <c r="I424">
        <v>0</v>
      </c>
      <c r="J424">
        <v>0</v>
      </c>
      <c r="K424">
        <v>0</v>
      </c>
      <c r="L424">
        <v>0</v>
      </c>
      <c r="M424">
        <v>0</v>
      </c>
      <c r="N424">
        <v>0</v>
      </c>
      <c r="O424">
        <v>0</v>
      </c>
      <c r="Q424">
        <v>74.400000000000006</v>
      </c>
    </row>
    <row r="425" spans="1:17">
      <c r="A425" t="s">
        <v>471</v>
      </c>
      <c r="B425" s="8">
        <v>45701</v>
      </c>
      <c r="C425" t="s">
        <v>1</v>
      </c>
      <c r="D425" t="s">
        <v>39</v>
      </c>
      <c r="E425" t="s">
        <v>40</v>
      </c>
      <c r="F425" t="s">
        <v>55</v>
      </c>
      <c r="G425" t="s">
        <v>42</v>
      </c>
      <c r="H425">
        <v>0</v>
      </c>
      <c r="I425">
        <v>0</v>
      </c>
      <c r="J425">
        <v>0</v>
      </c>
      <c r="K425">
        <v>0</v>
      </c>
      <c r="L425">
        <v>0</v>
      </c>
      <c r="M425">
        <v>0</v>
      </c>
      <c r="N425">
        <v>0</v>
      </c>
      <c r="O425">
        <v>0</v>
      </c>
      <c r="Q425">
        <v>55.6</v>
      </c>
    </row>
    <row r="426" spans="1:17">
      <c r="A426" t="s">
        <v>472</v>
      </c>
      <c r="B426" s="8">
        <v>45775</v>
      </c>
      <c r="C426" t="s">
        <v>1</v>
      </c>
      <c r="D426" t="s">
        <v>39</v>
      </c>
      <c r="E426" t="s">
        <v>40</v>
      </c>
      <c r="F426" t="s">
        <v>57</v>
      </c>
      <c r="G426" t="s">
        <v>42</v>
      </c>
      <c r="H426">
        <v>1</v>
      </c>
      <c r="I426">
        <v>0</v>
      </c>
      <c r="J426">
        <v>0</v>
      </c>
      <c r="K426">
        <v>0</v>
      </c>
      <c r="L426">
        <v>0</v>
      </c>
      <c r="M426">
        <v>0</v>
      </c>
      <c r="N426">
        <v>0</v>
      </c>
      <c r="O426">
        <v>0</v>
      </c>
      <c r="Q426">
        <v>35.799999999999997</v>
      </c>
    </row>
    <row r="427" spans="1:17">
      <c r="A427" t="s">
        <v>473</v>
      </c>
      <c r="B427" s="8">
        <v>45700</v>
      </c>
      <c r="C427" t="s">
        <v>1</v>
      </c>
      <c r="D427" t="s">
        <v>34</v>
      </c>
      <c r="E427" t="s">
        <v>40</v>
      </c>
      <c r="F427" t="s">
        <v>45</v>
      </c>
      <c r="G427" t="s">
        <v>37</v>
      </c>
      <c r="H427">
        <v>1</v>
      </c>
      <c r="I427">
        <v>0</v>
      </c>
      <c r="J427">
        <v>0</v>
      </c>
      <c r="K427">
        <v>0</v>
      </c>
      <c r="L427">
        <v>0</v>
      </c>
      <c r="M427">
        <v>1</v>
      </c>
      <c r="N427">
        <v>1</v>
      </c>
      <c r="O427">
        <v>0</v>
      </c>
      <c r="Q427">
        <v>28.2</v>
      </c>
    </row>
    <row r="428" spans="1:17">
      <c r="A428" t="s">
        <v>474</v>
      </c>
      <c r="B428" s="8">
        <v>45700</v>
      </c>
      <c r="C428" t="s">
        <v>1</v>
      </c>
      <c r="D428" t="s">
        <v>44</v>
      </c>
      <c r="E428" t="s">
        <v>40</v>
      </c>
      <c r="F428" t="s">
        <v>41</v>
      </c>
      <c r="G428" t="s">
        <v>42</v>
      </c>
      <c r="H428">
        <v>0</v>
      </c>
      <c r="I428">
        <v>0</v>
      </c>
      <c r="J428">
        <v>0</v>
      </c>
      <c r="K428">
        <v>0</v>
      </c>
      <c r="L428">
        <v>0</v>
      </c>
      <c r="M428">
        <v>2</v>
      </c>
      <c r="N428">
        <v>1</v>
      </c>
      <c r="O428">
        <v>0</v>
      </c>
      <c r="Q428">
        <v>44.4</v>
      </c>
    </row>
    <row r="429" spans="1:17">
      <c r="A429" t="s">
        <v>475</v>
      </c>
      <c r="B429" s="8">
        <v>45743</v>
      </c>
      <c r="C429" t="s">
        <v>1</v>
      </c>
      <c r="D429" t="s">
        <v>34</v>
      </c>
      <c r="E429" t="s">
        <v>40</v>
      </c>
      <c r="F429" t="s">
        <v>36</v>
      </c>
      <c r="G429" t="s">
        <v>46</v>
      </c>
      <c r="H429">
        <v>1</v>
      </c>
      <c r="I429">
        <v>0</v>
      </c>
      <c r="J429">
        <v>0</v>
      </c>
      <c r="K429">
        <v>0</v>
      </c>
      <c r="L429">
        <v>0</v>
      </c>
      <c r="M429">
        <v>0</v>
      </c>
      <c r="N429">
        <v>0</v>
      </c>
      <c r="O429">
        <v>0</v>
      </c>
      <c r="Q429">
        <v>49.9</v>
      </c>
    </row>
    <row r="430" spans="1:17">
      <c r="A430" t="s">
        <v>476</v>
      </c>
      <c r="B430" s="8">
        <v>45759</v>
      </c>
      <c r="C430" t="s">
        <v>1</v>
      </c>
      <c r="D430" t="s">
        <v>48</v>
      </c>
      <c r="E430" t="s">
        <v>35</v>
      </c>
      <c r="F430" t="s">
        <v>41</v>
      </c>
      <c r="G430" t="s">
        <v>42</v>
      </c>
      <c r="H430">
        <v>0</v>
      </c>
      <c r="I430">
        <v>0</v>
      </c>
      <c r="J430">
        <v>0</v>
      </c>
      <c r="K430">
        <v>0</v>
      </c>
      <c r="L430">
        <v>0</v>
      </c>
      <c r="M430">
        <v>0</v>
      </c>
      <c r="N430">
        <v>0</v>
      </c>
      <c r="O430">
        <v>0</v>
      </c>
      <c r="Q430">
        <v>40.4</v>
      </c>
    </row>
    <row r="431" spans="1:17">
      <c r="A431" t="s">
        <v>477</v>
      </c>
      <c r="B431" s="8">
        <v>45687</v>
      </c>
      <c r="C431" t="s">
        <v>1</v>
      </c>
      <c r="D431" t="s">
        <v>39</v>
      </c>
      <c r="E431" t="s">
        <v>40</v>
      </c>
      <c r="F431" t="s">
        <v>57</v>
      </c>
      <c r="G431" t="s">
        <v>42</v>
      </c>
      <c r="H431">
        <v>0</v>
      </c>
      <c r="I431">
        <v>0</v>
      </c>
      <c r="J431">
        <v>0</v>
      </c>
      <c r="K431">
        <v>0</v>
      </c>
      <c r="L431">
        <v>0</v>
      </c>
      <c r="M431">
        <v>0</v>
      </c>
      <c r="N431">
        <v>0</v>
      </c>
      <c r="O431">
        <v>0</v>
      </c>
      <c r="Q431">
        <v>60.4</v>
      </c>
    </row>
    <row r="432" spans="1:17">
      <c r="A432" t="s">
        <v>478</v>
      </c>
      <c r="B432" s="8">
        <v>45805</v>
      </c>
      <c r="C432" t="s">
        <v>1</v>
      </c>
      <c r="D432" t="s">
        <v>39</v>
      </c>
      <c r="E432" t="s">
        <v>40</v>
      </c>
      <c r="F432" t="s">
        <v>57</v>
      </c>
      <c r="G432" t="s">
        <v>46</v>
      </c>
      <c r="H432">
        <v>0</v>
      </c>
      <c r="I432">
        <v>0</v>
      </c>
      <c r="J432">
        <v>0</v>
      </c>
      <c r="K432">
        <v>0</v>
      </c>
      <c r="L432">
        <v>0</v>
      </c>
      <c r="M432">
        <v>1</v>
      </c>
      <c r="N432">
        <v>1</v>
      </c>
      <c r="O432">
        <v>0</v>
      </c>
      <c r="Q432">
        <v>52.4</v>
      </c>
    </row>
    <row r="433" spans="1:17">
      <c r="A433" t="s">
        <v>479</v>
      </c>
      <c r="B433" s="8">
        <v>45778</v>
      </c>
      <c r="C433" t="s">
        <v>1</v>
      </c>
      <c r="D433" t="s">
        <v>48</v>
      </c>
      <c r="E433" t="s">
        <v>40</v>
      </c>
      <c r="F433" t="s">
        <v>41</v>
      </c>
      <c r="G433" t="s">
        <v>37</v>
      </c>
      <c r="H433">
        <v>1</v>
      </c>
      <c r="I433">
        <v>1</v>
      </c>
      <c r="J433">
        <v>0</v>
      </c>
      <c r="K433">
        <v>0</v>
      </c>
      <c r="L433">
        <v>0</v>
      </c>
      <c r="M433">
        <v>0</v>
      </c>
      <c r="N433">
        <v>0</v>
      </c>
      <c r="O433">
        <v>0</v>
      </c>
      <c r="Q433">
        <v>48.8</v>
      </c>
    </row>
    <row r="434" spans="1:17">
      <c r="A434" t="s">
        <v>480</v>
      </c>
      <c r="B434" s="8">
        <v>45691</v>
      </c>
      <c r="C434" t="s">
        <v>1</v>
      </c>
      <c r="D434" t="s">
        <v>34</v>
      </c>
      <c r="E434" t="s">
        <v>50</v>
      </c>
      <c r="F434" t="s">
        <v>36</v>
      </c>
      <c r="G434" t="s">
        <v>37</v>
      </c>
      <c r="H434">
        <v>1</v>
      </c>
      <c r="I434">
        <v>0</v>
      </c>
      <c r="J434">
        <v>0</v>
      </c>
      <c r="K434">
        <v>0</v>
      </c>
      <c r="L434">
        <v>0</v>
      </c>
      <c r="M434">
        <v>0</v>
      </c>
      <c r="N434">
        <v>0</v>
      </c>
      <c r="O434">
        <v>0</v>
      </c>
      <c r="Q434">
        <v>60.9</v>
      </c>
    </row>
    <row r="435" spans="1:17">
      <c r="A435" t="s">
        <v>481</v>
      </c>
      <c r="B435" s="8">
        <v>45667</v>
      </c>
      <c r="C435" t="s">
        <v>1</v>
      </c>
      <c r="D435" t="s">
        <v>48</v>
      </c>
      <c r="E435" t="s">
        <v>35</v>
      </c>
      <c r="F435" t="s">
        <v>57</v>
      </c>
      <c r="G435" t="s">
        <v>37</v>
      </c>
      <c r="H435">
        <v>0</v>
      </c>
      <c r="I435">
        <v>0</v>
      </c>
      <c r="J435">
        <v>0</v>
      </c>
      <c r="K435">
        <v>0</v>
      </c>
      <c r="L435">
        <v>0</v>
      </c>
      <c r="M435">
        <v>0</v>
      </c>
      <c r="N435">
        <v>0</v>
      </c>
      <c r="O435">
        <v>0</v>
      </c>
      <c r="Q435">
        <v>68.2</v>
      </c>
    </row>
    <row r="436" spans="1:17">
      <c r="A436" t="s">
        <v>482</v>
      </c>
      <c r="B436" s="8">
        <v>45779</v>
      </c>
      <c r="C436" t="s">
        <v>1</v>
      </c>
      <c r="D436" t="s">
        <v>34</v>
      </c>
      <c r="E436" t="s">
        <v>35</v>
      </c>
      <c r="F436" t="s">
        <v>41</v>
      </c>
      <c r="G436" t="s">
        <v>37</v>
      </c>
      <c r="H436">
        <v>1</v>
      </c>
      <c r="I436">
        <v>0</v>
      </c>
      <c r="J436">
        <v>0</v>
      </c>
      <c r="K436">
        <v>0</v>
      </c>
      <c r="L436">
        <v>0</v>
      </c>
      <c r="M436">
        <v>0</v>
      </c>
      <c r="N436">
        <v>0</v>
      </c>
      <c r="O436">
        <v>0</v>
      </c>
      <c r="Q436">
        <v>65.599999999999994</v>
      </c>
    </row>
    <row r="437" spans="1:17">
      <c r="A437" t="s">
        <v>483</v>
      </c>
      <c r="B437" s="8">
        <v>45803</v>
      </c>
      <c r="C437" t="s">
        <v>1</v>
      </c>
      <c r="D437" t="s">
        <v>34</v>
      </c>
      <c r="E437" t="s">
        <v>35</v>
      </c>
      <c r="F437" t="s">
        <v>41</v>
      </c>
      <c r="G437" t="s">
        <v>37</v>
      </c>
      <c r="H437">
        <v>1</v>
      </c>
      <c r="I437">
        <v>0</v>
      </c>
      <c r="J437">
        <v>0</v>
      </c>
      <c r="K437">
        <v>0</v>
      </c>
      <c r="L437">
        <v>0</v>
      </c>
      <c r="M437">
        <v>0</v>
      </c>
      <c r="N437">
        <v>0</v>
      </c>
      <c r="O437">
        <v>0</v>
      </c>
      <c r="Q437">
        <v>65.400000000000006</v>
      </c>
    </row>
    <row r="438" spans="1:17">
      <c r="A438" t="s">
        <v>484</v>
      </c>
      <c r="B438" s="8">
        <v>45669</v>
      </c>
      <c r="C438" t="s">
        <v>1</v>
      </c>
      <c r="D438" t="s">
        <v>39</v>
      </c>
      <c r="E438" t="s">
        <v>40</v>
      </c>
      <c r="F438" t="s">
        <v>41</v>
      </c>
      <c r="G438" t="s">
        <v>37</v>
      </c>
      <c r="H438">
        <v>1</v>
      </c>
      <c r="I438">
        <v>0</v>
      </c>
      <c r="J438">
        <v>0</v>
      </c>
      <c r="K438">
        <v>0</v>
      </c>
      <c r="L438">
        <v>0</v>
      </c>
      <c r="M438">
        <v>0</v>
      </c>
      <c r="N438">
        <v>0</v>
      </c>
      <c r="O438">
        <v>0</v>
      </c>
      <c r="Q438">
        <v>78.900000000000006</v>
      </c>
    </row>
    <row r="439" spans="1:17">
      <c r="A439" t="s">
        <v>485</v>
      </c>
      <c r="B439" s="8">
        <v>45804</v>
      </c>
      <c r="C439" t="s">
        <v>1</v>
      </c>
      <c r="D439" t="s">
        <v>44</v>
      </c>
      <c r="E439" t="s">
        <v>40</v>
      </c>
      <c r="F439" t="s">
        <v>45</v>
      </c>
      <c r="G439" t="s">
        <v>37</v>
      </c>
      <c r="H439">
        <v>1</v>
      </c>
      <c r="I439">
        <v>1</v>
      </c>
      <c r="J439">
        <v>1</v>
      </c>
      <c r="K439">
        <v>0</v>
      </c>
      <c r="L439">
        <v>0</v>
      </c>
      <c r="M439">
        <v>0</v>
      </c>
      <c r="N439">
        <v>0</v>
      </c>
      <c r="O439">
        <v>0</v>
      </c>
      <c r="Q439">
        <v>78.3</v>
      </c>
    </row>
    <row r="440" spans="1:17">
      <c r="A440" t="s">
        <v>486</v>
      </c>
      <c r="B440" s="8">
        <v>45799</v>
      </c>
      <c r="C440" t="s">
        <v>1</v>
      </c>
      <c r="D440" t="s">
        <v>39</v>
      </c>
      <c r="E440" t="s">
        <v>35</v>
      </c>
      <c r="F440" t="s">
        <v>36</v>
      </c>
      <c r="G440" t="s">
        <v>37</v>
      </c>
      <c r="H440">
        <v>0</v>
      </c>
      <c r="I440">
        <v>0</v>
      </c>
      <c r="J440">
        <v>0</v>
      </c>
      <c r="K440">
        <v>0</v>
      </c>
      <c r="L440">
        <v>0</v>
      </c>
      <c r="M440">
        <v>0</v>
      </c>
      <c r="N440">
        <v>0</v>
      </c>
      <c r="O440">
        <v>0</v>
      </c>
      <c r="Q440">
        <v>49.2</v>
      </c>
    </row>
    <row r="441" spans="1:17">
      <c r="A441" t="s">
        <v>487</v>
      </c>
      <c r="B441" s="8">
        <v>45748</v>
      </c>
      <c r="C441" t="s">
        <v>1</v>
      </c>
      <c r="D441" t="s">
        <v>44</v>
      </c>
      <c r="E441" t="s">
        <v>40</v>
      </c>
      <c r="F441" t="s">
        <v>57</v>
      </c>
      <c r="G441" t="s">
        <v>46</v>
      </c>
      <c r="H441">
        <v>1</v>
      </c>
      <c r="I441">
        <v>1</v>
      </c>
      <c r="J441">
        <v>1</v>
      </c>
      <c r="K441">
        <v>1</v>
      </c>
      <c r="L441">
        <v>1518.83</v>
      </c>
      <c r="M441">
        <v>0</v>
      </c>
      <c r="N441">
        <v>0</v>
      </c>
      <c r="O441">
        <v>0</v>
      </c>
      <c r="P441">
        <v>9</v>
      </c>
      <c r="Q441">
        <v>32.200000000000003</v>
      </c>
    </row>
    <row r="442" spans="1:17">
      <c r="A442" t="s">
        <v>488</v>
      </c>
      <c r="B442" s="8">
        <v>45679</v>
      </c>
      <c r="C442" t="s">
        <v>1</v>
      </c>
      <c r="D442" t="s">
        <v>34</v>
      </c>
      <c r="E442" t="s">
        <v>40</v>
      </c>
      <c r="F442" t="s">
        <v>45</v>
      </c>
      <c r="G442" t="s">
        <v>37</v>
      </c>
      <c r="H442">
        <v>1</v>
      </c>
      <c r="I442">
        <v>1</v>
      </c>
      <c r="J442">
        <v>1</v>
      </c>
      <c r="K442">
        <v>0</v>
      </c>
      <c r="L442">
        <v>0</v>
      </c>
      <c r="M442">
        <v>0</v>
      </c>
      <c r="N442">
        <v>0</v>
      </c>
      <c r="O442">
        <v>0</v>
      </c>
      <c r="Q442">
        <v>46.3</v>
      </c>
    </row>
    <row r="443" spans="1:17">
      <c r="A443" t="s">
        <v>489</v>
      </c>
      <c r="B443" s="8">
        <v>45801</v>
      </c>
      <c r="C443" t="s">
        <v>1</v>
      </c>
      <c r="D443" t="s">
        <v>44</v>
      </c>
      <c r="E443" t="s">
        <v>40</v>
      </c>
      <c r="F443" t="s">
        <v>45</v>
      </c>
      <c r="G443" t="s">
        <v>37</v>
      </c>
      <c r="H443">
        <v>1</v>
      </c>
      <c r="I443">
        <v>0</v>
      </c>
      <c r="J443">
        <v>0</v>
      </c>
      <c r="K443">
        <v>0</v>
      </c>
      <c r="L443">
        <v>0</v>
      </c>
      <c r="M443">
        <v>0</v>
      </c>
      <c r="N443">
        <v>0</v>
      </c>
      <c r="O443">
        <v>0</v>
      </c>
      <c r="Q443">
        <v>55.7</v>
      </c>
    </row>
    <row r="444" spans="1:17">
      <c r="A444" t="s">
        <v>490</v>
      </c>
      <c r="B444" s="8">
        <v>45772</v>
      </c>
      <c r="C444" t="s">
        <v>1</v>
      </c>
      <c r="D444" t="s">
        <v>48</v>
      </c>
      <c r="E444" t="s">
        <v>40</v>
      </c>
      <c r="F444" t="s">
        <v>57</v>
      </c>
      <c r="G444" t="s">
        <v>42</v>
      </c>
      <c r="H444">
        <v>1</v>
      </c>
      <c r="I444">
        <v>0</v>
      </c>
      <c r="J444">
        <v>0</v>
      </c>
      <c r="K444">
        <v>0</v>
      </c>
      <c r="L444">
        <v>0</v>
      </c>
      <c r="M444">
        <v>0</v>
      </c>
      <c r="N444">
        <v>0</v>
      </c>
      <c r="O444">
        <v>0</v>
      </c>
      <c r="Q444">
        <v>44.5</v>
      </c>
    </row>
    <row r="445" spans="1:17">
      <c r="A445" t="s">
        <v>491</v>
      </c>
      <c r="B445" s="8">
        <v>45759</v>
      </c>
      <c r="C445" t="s">
        <v>1</v>
      </c>
      <c r="D445" t="s">
        <v>39</v>
      </c>
      <c r="E445" t="s">
        <v>35</v>
      </c>
      <c r="F445" t="s">
        <v>55</v>
      </c>
      <c r="G445" t="s">
        <v>42</v>
      </c>
      <c r="H445">
        <v>1</v>
      </c>
      <c r="I445">
        <v>1</v>
      </c>
      <c r="J445">
        <v>1</v>
      </c>
      <c r="K445">
        <v>0</v>
      </c>
      <c r="L445">
        <v>0</v>
      </c>
      <c r="M445">
        <v>1</v>
      </c>
      <c r="N445">
        <v>1</v>
      </c>
      <c r="O445">
        <v>0</v>
      </c>
      <c r="Q445">
        <v>47.9</v>
      </c>
    </row>
    <row r="446" spans="1:17">
      <c r="A446" t="s">
        <v>492</v>
      </c>
      <c r="B446" s="8">
        <v>45770</v>
      </c>
      <c r="C446" t="s">
        <v>1</v>
      </c>
      <c r="D446" t="s">
        <v>48</v>
      </c>
      <c r="E446" t="s">
        <v>40</v>
      </c>
      <c r="F446" t="s">
        <v>41</v>
      </c>
      <c r="G446" t="s">
        <v>46</v>
      </c>
      <c r="H446">
        <v>1</v>
      </c>
      <c r="I446">
        <v>0</v>
      </c>
      <c r="J446">
        <v>0</v>
      </c>
      <c r="K446">
        <v>0</v>
      </c>
      <c r="L446">
        <v>0</v>
      </c>
      <c r="M446">
        <v>0</v>
      </c>
      <c r="N446">
        <v>0</v>
      </c>
      <c r="O446">
        <v>0</v>
      </c>
      <c r="Q446">
        <v>43.9</v>
      </c>
    </row>
    <row r="447" spans="1:17">
      <c r="A447" t="s">
        <v>493</v>
      </c>
      <c r="B447" s="8">
        <v>45746</v>
      </c>
      <c r="C447" t="s">
        <v>1</v>
      </c>
      <c r="D447" t="s">
        <v>34</v>
      </c>
      <c r="E447" t="s">
        <v>35</v>
      </c>
      <c r="F447" t="s">
        <v>55</v>
      </c>
      <c r="G447" t="s">
        <v>42</v>
      </c>
      <c r="H447">
        <v>1</v>
      </c>
      <c r="I447">
        <v>1</v>
      </c>
      <c r="J447">
        <v>1</v>
      </c>
      <c r="K447">
        <v>0</v>
      </c>
      <c r="L447">
        <v>0</v>
      </c>
      <c r="M447">
        <v>1</v>
      </c>
      <c r="N447">
        <v>1</v>
      </c>
      <c r="O447">
        <v>0</v>
      </c>
      <c r="Q447">
        <v>67.7</v>
      </c>
    </row>
    <row r="448" spans="1:17">
      <c r="A448" t="s">
        <v>494</v>
      </c>
      <c r="B448" s="8">
        <v>45675</v>
      </c>
      <c r="C448" t="s">
        <v>1</v>
      </c>
      <c r="D448" t="s">
        <v>44</v>
      </c>
      <c r="E448" t="s">
        <v>40</v>
      </c>
      <c r="F448" t="s">
        <v>55</v>
      </c>
      <c r="G448" t="s">
        <v>37</v>
      </c>
      <c r="H448">
        <v>0</v>
      </c>
      <c r="I448">
        <v>0</v>
      </c>
      <c r="J448">
        <v>0</v>
      </c>
      <c r="K448">
        <v>0</v>
      </c>
      <c r="L448">
        <v>0</v>
      </c>
      <c r="M448">
        <v>0</v>
      </c>
      <c r="N448">
        <v>0</v>
      </c>
      <c r="O448">
        <v>0</v>
      </c>
      <c r="Q448">
        <v>43.7</v>
      </c>
    </row>
    <row r="449" spans="1:17">
      <c r="A449" t="s">
        <v>495</v>
      </c>
      <c r="B449" s="8">
        <v>45756</v>
      </c>
      <c r="C449" t="s">
        <v>1</v>
      </c>
      <c r="D449" t="s">
        <v>44</v>
      </c>
      <c r="E449" t="s">
        <v>40</v>
      </c>
      <c r="F449" t="s">
        <v>41</v>
      </c>
      <c r="G449" t="s">
        <v>42</v>
      </c>
      <c r="H449">
        <v>1</v>
      </c>
      <c r="I449">
        <v>0</v>
      </c>
      <c r="J449">
        <v>0</v>
      </c>
      <c r="K449">
        <v>0</v>
      </c>
      <c r="L449">
        <v>0</v>
      </c>
      <c r="M449">
        <v>0</v>
      </c>
      <c r="N449">
        <v>0</v>
      </c>
      <c r="O449">
        <v>0</v>
      </c>
      <c r="Q449">
        <v>68.8</v>
      </c>
    </row>
    <row r="450" spans="1:17">
      <c r="A450" t="s">
        <v>496</v>
      </c>
      <c r="B450" s="8">
        <v>45668</v>
      </c>
      <c r="C450" t="s">
        <v>1</v>
      </c>
      <c r="D450" t="s">
        <v>39</v>
      </c>
      <c r="E450" t="s">
        <v>40</v>
      </c>
      <c r="F450" t="s">
        <v>41</v>
      </c>
      <c r="G450" t="s">
        <v>42</v>
      </c>
      <c r="H450">
        <v>1</v>
      </c>
      <c r="I450">
        <v>1</v>
      </c>
      <c r="J450">
        <v>1</v>
      </c>
      <c r="K450">
        <v>0</v>
      </c>
      <c r="L450">
        <v>0</v>
      </c>
      <c r="M450">
        <v>0</v>
      </c>
      <c r="N450">
        <v>0</v>
      </c>
      <c r="O450">
        <v>0</v>
      </c>
      <c r="Q450">
        <v>59.2</v>
      </c>
    </row>
    <row r="451" spans="1:17">
      <c r="A451" t="s">
        <v>497</v>
      </c>
      <c r="B451" s="8">
        <v>45721</v>
      </c>
      <c r="C451" t="s">
        <v>1</v>
      </c>
      <c r="D451" t="s">
        <v>44</v>
      </c>
      <c r="E451" t="s">
        <v>40</v>
      </c>
      <c r="F451" t="s">
        <v>45</v>
      </c>
      <c r="G451" t="s">
        <v>42</v>
      </c>
      <c r="H451">
        <v>1</v>
      </c>
      <c r="I451">
        <v>0</v>
      </c>
      <c r="J451">
        <v>0</v>
      </c>
      <c r="K451">
        <v>0</v>
      </c>
      <c r="L451">
        <v>0</v>
      </c>
      <c r="M451">
        <v>0</v>
      </c>
      <c r="N451">
        <v>0</v>
      </c>
      <c r="O451">
        <v>0</v>
      </c>
      <c r="Q451">
        <v>48.6</v>
      </c>
    </row>
    <row r="452" spans="1:17">
      <c r="A452" t="s">
        <v>498</v>
      </c>
      <c r="B452" s="8">
        <v>45705</v>
      </c>
      <c r="C452" t="s">
        <v>1</v>
      </c>
      <c r="D452" t="s">
        <v>34</v>
      </c>
      <c r="E452" t="s">
        <v>50</v>
      </c>
      <c r="F452" t="s">
        <v>57</v>
      </c>
      <c r="G452" t="s">
        <v>42</v>
      </c>
      <c r="H452">
        <v>1</v>
      </c>
      <c r="I452">
        <v>1</v>
      </c>
      <c r="J452">
        <v>1</v>
      </c>
      <c r="K452">
        <v>0</v>
      </c>
      <c r="L452">
        <v>0</v>
      </c>
      <c r="M452">
        <v>0</v>
      </c>
      <c r="N452">
        <v>0</v>
      </c>
      <c r="O452">
        <v>0</v>
      </c>
      <c r="Q452">
        <v>56.9</v>
      </c>
    </row>
    <row r="453" spans="1:17">
      <c r="A453" t="s">
        <v>499</v>
      </c>
      <c r="B453" s="8">
        <v>45784</v>
      </c>
      <c r="C453" t="s">
        <v>1</v>
      </c>
      <c r="D453" t="s">
        <v>34</v>
      </c>
      <c r="E453" t="s">
        <v>35</v>
      </c>
      <c r="F453" t="s">
        <v>45</v>
      </c>
      <c r="G453" t="s">
        <v>42</v>
      </c>
      <c r="H453">
        <v>0</v>
      </c>
      <c r="I453">
        <v>0</v>
      </c>
      <c r="J453">
        <v>0</v>
      </c>
      <c r="K453">
        <v>0</v>
      </c>
      <c r="L453">
        <v>0</v>
      </c>
      <c r="M453">
        <v>0</v>
      </c>
      <c r="N453">
        <v>0</v>
      </c>
      <c r="O453">
        <v>0</v>
      </c>
      <c r="Q453">
        <v>55.8</v>
      </c>
    </row>
    <row r="454" spans="1:17">
      <c r="A454" t="s">
        <v>500</v>
      </c>
      <c r="B454" s="8">
        <v>45757</v>
      </c>
      <c r="C454" t="s">
        <v>1</v>
      </c>
      <c r="D454" t="s">
        <v>44</v>
      </c>
      <c r="E454" t="s">
        <v>40</v>
      </c>
      <c r="F454" t="s">
        <v>45</v>
      </c>
      <c r="G454" t="s">
        <v>46</v>
      </c>
      <c r="H454">
        <v>0</v>
      </c>
      <c r="I454">
        <v>0</v>
      </c>
      <c r="J454">
        <v>0</v>
      </c>
      <c r="K454">
        <v>0</v>
      </c>
      <c r="L454">
        <v>0</v>
      </c>
      <c r="M454">
        <v>0</v>
      </c>
      <c r="N454">
        <v>0</v>
      </c>
      <c r="O454">
        <v>0</v>
      </c>
      <c r="Q454">
        <v>63.3</v>
      </c>
    </row>
    <row r="455" spans="1:17">
      <c r="A455" t="s">
        <v>501</v>
      </c>
      <c r="B455" s="8">
        <v>45768</v>
      </c>
      <c r="C455" t="s">
        <v>1</v>
      </c>
      <c r="D455" t="s">
        <v>34</v>
      </c>
      <c r="E455" t="s">
        <v>40</v>
      </c>
      <c r="F455" t="s">
        <v>57</v>
      </c>
      <c r="G455" t="s">
        <v>42</v>
      </c>
      <c r="H455">
        <v>1</v>
      </c>
      <c r="I455">
        <v>0</v>
      </c>
      <c r="J455">
        <v>0</v>
      </c>
      <c r="K455">
        <v>0</v>
      </c>
      <c r="L455">
        <v>0</v>
      </c>
      <c r="M455">
        <v>0</v>
      </c>
      <c r="N455">
        <v>0</v>
      </c>
      <c r="O455">
        <v>0</v>
      </c>
      <c r="Q455">
        <v>52.2</v>
      </c>
    </row>
    <row r="456" spans="1:17">
      <c r="A456" t="s">
        <v>502</v>
      </c>
      <c r="B456" s="8">
        <v>45713</v>
      </c>
      <c r="C456" t="s">
        <v>1</v>
      </c>
      <c r="D456" t="s">
        <v>48</v>
      </c>
      <c r="E456" t="s">
        <v>50</v>
      </c>
      <c r="G456" t="s">
        <v>42</v>
      </c>
      <c r="H456">
        <v>0</v>
      </c>
      <c r="I456">
        <v>0</v>
      </c>
      <c r="J456">
        <v>0</v>
      </c>
      <c r="K456">
        <v>0</v>
      </c>
      <c r="L456">
        <v>0</v>
      </c>
      <c r="M456">
        <v>0</v>
      </c>
      <c r="N456">
        <v>0</v>
      </c>
      <c r="O456">
        <v>0</v>
      </c>
      <c r="Q456">
        <v>51.5</v>
      </c>
    </row>
    <row r="457" spans="1:17">
      <c r="A457" t="s">
        <v>503</v>
      </c>
      <c r="B457" s="8">
        <v>45791</v>
      </c>
      <c r="C457" t="s">
        <v>1</v>
      </c>
      <c r="D457" t="s">
        <v>44</v>
      </c>
      <c r="E457" t="s">
        <v>35</v>
      </c>
      <c r="F457" t="s">
        <v>41</v>
      </c>
      <c r="G457" t="s">
        <v>42</v>
      </c>
      <c r="H457">
        <v>0</v>
      </c>
      <c r="I457">
        <v>0</v>
      </c>
      <c r="J457">
        <v>0</v>
      </c>
      <c r="K457">
        <v>0</v>
      </c>
      <c r="L457">
        <v>0</v>
      </c>
      <c r="M457">
        <v>0</v>
      </c>
      <c r="N457">
        <v>0</v>
      </c>
      <c r="O457">
        <v>0</v>
      </c>
      <c r="Q457">
        <v>50.3</v>
      </c>
    </row>
    <row r="458" spans="1:17">
      <c r="A458" t="s">
        <v>504</v>
      </c>
      <c r="B458" s="8">
        <v>45726</v>
      </c>
      <c r="C458" t="s">
        <v>1</v>
      </c>
      <c r="D458" t="s">
        <v>34</v>
      </c>
      <c r="E458" t="s">
        <v>40</v>
      </c>
      <c r="F458" t="s">
        <v>36</v>
      </c>
      <c r="G458" t="s">
        <v>37</v>
      </c>
      <c r="H458">
        <v>1</v>
      </c>
      <c r="I458">
        <v>0</v>
      </c>
      <c r="J458">
        <v>0</v>
      </c>
      <c r="K458">
        <v>0</v>
      </c>
      <c r="L458">
        <v>0</v>
      </c>
      <c r="M458">
        <v>1</v>
      </c>
      <c r="N458">
        <v>1</v>
      </c>
      <c r="O458">
        <v>0</v>
      </c>
      <c r="Q458">
        <v>35.4</v>
      </c>
    </row>
    <row r="459" spans="1:17">
      <c r="A459" t="s">
        <v>505</v>
      </c>
      <c r="B459" s="8">
        <v>45688</v>
      </c>
      <c r="C459" t="s">
        <v>1</v>
      </c>
      <c r="D459" t="s">
        <v>39</v>
      </c>
      <c r="E459" t="s">
        <v>35</v>
      </c>
      <c r="F459" t="s">
        <v>41</v>
      </c>
      <c r="G459" t="s">
        <v>46</v>
      </c>
      <c r="H459">
        <v>1</v>
      </c>
      <c r="I459">
        <v>0</v>
      </c>
      <c r="J459">
        <v>0</v>
      </c>
      <c r="K459">
        <v>0</v>
      </c>
      <c r="L459">
        <v>0</v>
      </c>
      <c r="M459">
        <v>1</v>
      </c>
      <c r="N459">
        <v>1</v>
      </c>
      <c r="O459">
        <v>0</v>
      </c>
      <c r="Q459">
        <v>54.1</v>
      </c>
    </row>
    <row r="460" spans="1:17">
      <c r="A460" t="s">
        <v>506</v>
      </c>
      <c r="B460" s="8">
        <v>45674</v>
      </c>
      <c r="C460" t="s">
        <v>1</v>
      </c>
      <c r="D460" t="s">
        <v>48</v>
      </c>
      <c r="E460" t="s">
        <v>40</v>
      </c>
      <c r="F460" t="s">
        <v>41</v>
      </c>
      <c r="G460" t="s">
        <v>46</v>
      </c>
      <c r="H460">
        <v>1</v>
      </c>
      <c r="I460">
        <v>0</v>
      </c>
      <c r="J460">
        <v>0</v>
      </c>
      <c r="K460">
        <v>0</v>
      </c>
      <c r="L460">
        <v>0</v>
      </c>
      <c r="M460">
        <v>0</v>
      </c>
      <c r="N460">
        <v>0</v>
      </c>
      <c r="O460">
        <v>0</v>
      </c>
      <c r="Q460">
        <v>56.2</v>
      </c>
    </row>
    <row r="461" spans="1:17">
      <c r="A461" t="s">
        <v>507</v>
      </c>
      <c r="B461" s="8">
        <v>45728</v>
      </c>
      <c r="C461" t="s">
        <v>1</v>
      </c>
      <c r="D461" t="s">
        <v>48</v>
      </c>
      <c r="E461" t="s">
        <v>40</v>
      </c>
      <c r="F461" t="s">
        <v>45</v>
      </c>
      <c r="G461" t="s">
        <v>42</v>
      </c>
      <c r="H461">
        <v>0</v>
      </c>
      <c r="I461">
        <v>0</v>
      </c>
      <c r="J461">
        <v>0</v>
      </c>
      <c r="K461">
        <v>0</v>
      </c>
      <c r="L461">
        <v>0</v>
      </c>
      <c r="M461">
        <v>3</v>
      </c>
      <c r="N461">
        <v>1</v>
      </c>
      <c r="O461">
        <v>0</v>
      </c>
      <c r="Q461">
        <v>43.7</v>
      </c>
    </row>
    <row r="462" spans="1:17">
      <c r="A462" t="s">
        <v>508</v>
      </c>
      <c r="B462" s="8">
        <v>45716</v>
      </c>
      <c r="C462" t="s">
        <v>1</v>
      </c>
      <c r="D462" t="s">
        <v>39</v>
      </c>
      <c r="E462" t="s">
        <v>35</v>
      </c>
      <c r="F462" t="s">
        <v>41</v>
      </c>
      <c r="G462" t="s">
        <v>46</v>
      </c>
      <c r="H462">
        <v>1</v>
      </c>
      <c r="I462">
        <v>1</v>
      </c>
      <c r="J462">
        <v>0</v>
      </c>
      <c r="K462">
        <v>0</v>
      </c>
      <c r="L462">
        <v>0</v>
      </c>
      <c r="M462">
        <v>0</v>
      </c>
      <c r="N462">
        <v>0</v>
      </c>
      <c r="O462">
        <v>0</v>
      </c>
      <c r="Q462">
        <v>51.3</v>
      </c>
    </row>
    <row r="463" spans="1:17">
      <c r="A463" t="s">
        <v>509</v>
      </c>
      <c r="B463" s="8">
        <v>45796</v>
      </c>
      <c r="C463" t="s">
        <v>1</v>
      </c>
      <c r="D463" t="s">
        <v>34</v>
      </c>
      <c r="F463" t="s">
        <v>41</v>
      </c>
      <c r="G463" t="s">
        <v>37</v>
      </c>
      <c r="H463">
        <v>1</v>
      </c>
      <c r="I463">
        <v>0</v>
      </c>
      <c r="J463">
        <v>0</v>
      </c>
      <c r="K463">
        <v>0</v>
      </c>
      <c r="L463">
        <v>0</v>
      </c>
      <c r="M463">
        <v>0</v>
      </c>
      <c r="N463">
        <v>0</v>
      </c>
      <c r="O463">
        <v>0</v>
      </c>
      <c r="Q463">
        <v>50.5</v>
      </c>
    </row>
    <row r="464" spans="1:17">
      <c r="A464" t="s">
        <v>510</v>
      </c>
      <c r="B464" s="8">
        <v>45711</v>
      </c>
      <c r="C464" t="s">
        <v>1</v>
      </c>
      <c r="D464" t="s">
        <v>34</v>
      </c>
      <c r="E464" t="s">
        <v>40</v>
      </c>
      <c r="F464" t="s">
        <v>55</v>
      </c>
      <c r="G464" t="s">
        <v>37</v>
      </c>
      <c r="H464">
        <v>1</v>
      </c>
      <c r="I464">
        <v>0</v>
      </c>
      <c r="J464">
        <v>0</v>
      </c>
      <c r="K464">
        <v>0</v>
      </c>
      <c r="L464">
        <v>0</v>
      </c>
      <c r="M464">
        <v>0</v>
      </c>
      <c r="N464">
        <v>0</v>
      </c>
      <c r="O464">
        <v>0</v>
      </c>
      <c r="Q464">
        <v>57.3</v>
      </c>
    </row>
    <row r="465" spans="1:17">
      <c r="A465" t="s">
        <v>511</v>
      </c>
      <c r="B465" s="8">
        <v>45708</v>
      </c>
      <c r="C465" t="s">
        <v>1</v>
      </c>
      <c r="D465" t="s">
        <v>39</v>
      </c>
      <c r="E465" t="s">
        <v>35</v>
      </c>
      <c r="F465" t="s">
        <v>41</v>
      </c>
      <c r="G465" t="s">
        <v>42</v>
      </c>
      <c r="H465">
        <v>1</v>
      </c>
      <c r="I465">
        <v>1</v>
      </c>
      <c r="J465">
        <v>1</v>
      </c>
      <c r="K465">
        <v>0</v>
      </c>
      <c r="L465">
        <v>0</v>
      </c>
      <c r="M465">
        <v>0</v>
      </c>
      <c r="N465">
        <v>0</v>
      </c>
      <c r="O465">
        <v>0</v>
      </c>
      <c r="Q465">
        <v>58.4</v>
      </c>
    </row>
    <row r="466" spans="1:17">
      <c r="A466" t="s">
        <v>512</v>
      </c>
      <c r="B466" s="8">
        <v>45759</v>
      </c>
      <c r="C466" t="s">
        <v>1</v>
      </c>
      <c r="D466" t="s">
        <v>34</v>
      </c>
      <c r="E466" t="s">
        <v>40</v>
      </c>
      <c r="G466" t="s">
        <v>42</v>
      </c>
      <c r="H466">
        <v>0</v>
      </c>
      <c r="I466">
        <v>0</v>
      </c>
      <c r="J466">
        <v>0</v>
      </c>
      <c r="K466">
        <v>0</v>
      </c>
      <c r="L466">
        <v>0</v>
      </c>
      <c r="M466">
        <v>0</v>
      </c>
      <c r="N466">
        <v>0</v>
      </c>
      <c r="O466">
        <v>0</v>
      </c>
      <c r="Q466">
        <v>56.5</v>
      </c>
    </row>
    <row r="467" spans="1:17">
      <c r="A467" t="s">
        <v>513</v>
      </c>
      <c r="B467" s="8">
        <v>45665</v>
      </c>
      <c r="C467" t="s">
        <v>1</v>
      </c>
      <c r="D467" t="s">
        <v>39</v>
      </c>
      <c r="E467" t="s">
        <v>40</v>
      </c>
      <c r="F467" t="s">
        <v>36</v>
      </c>
      <c r="G467" t="s">
        <v>42</v>
      </c>
      <c r="H467">
        <v>0</v>
      </c>
      <c r="I467">
        <v>0</v>
      </c>
      <c r="J467">
        <v>0</v>
      </c>
      <c r="K467">
        <v>0</v>
      </c>
      <c r="L467">
        <v>0</v>
      </c>
      <c r="M467">
        <v>0</v>
      </c>
      <c r="N467">
        <v>0</v>
      </c>
      <c r="O467">
        <v>0</v>
      </c>
      <c r="Q467">
        <v>69.599999999999994</v>
      </c>
    </row>
    <row r="468" spans="1:17">
      <c r="A468" t="s">
        <v>514</v>
      </c>
      <c r="B468" s="8">
        <v>45701</v>
      </c>
      <c r="C468" t="s">
        <v>1</v>
      </c>
      <c r="D468" t="s">
        <v>39</v>
      </c>
      <c r="E468" t="s">
        <v>40</v>
      </c>
      <c r="F468" t="s">
        <v>41</v>
      </c>
      <c r="G468" t="s">
        <v>37</v>
      </c>
      <c r="H468">
        <v>0</v>
      </c>
      <c r="I468">
        <v>0</v>
      </c>
      <c r="J468">
        <v>0</v>
      </c>
      <c r="K468">
        <v>0</v>
      </c>
      <c r="L468">
        <v>0</v>
      </c>
      <c r="M468">
        <v>0</v>
      </c>
      <c r="N468">
        <v>0</v>
      </c>
      <c r="O468">
        <v>0</v>
      </c>
      <c r="Q468">
        <v>6.2</v>
      </c>
    </row>
    <row r="469" spans="1:17">
      <c r="A469" t="s">
        <v>515</v>
      </c>
      <c r="B469" s="8">
        <v>45798</v>
      </c>
      <c r="C469" t="s">
        <v>1</v>
      </c>
      <c r="D469" t="s">
        <v>44</v>
      </c>
      <c r="E469" t="s">
        <v>35</v>
      </c>
      <c r="F469" t="s">
        <v>36</v>
      </c>
      <c r="G469" t="s">
        <v>42</v>
      </c>
      <c r="H469">
        <v>1</v>
      </c>
      <c r="I469">
        <v>1</v>
      </c>
      <c r="J469">
        <v>1</v>
      </c>
      <c r="K469">
        <v>0</v>
      </c>
      <c r="L469">
        <v>0</v>
      </c>
      <c r="M469">
        <v>0</v>
      </c>
      <c r="N469">
        <v>0</v>
      </c>
      <c r="O469">
        <v>0</v>
      </c>
      <c r="Q469">
        <v>54.3</v>
      </c>
    </row>
    <row r="470" spans="1:17">
      <c r="A470" t="s">
        <v>516</v>
      </c>
      <c r="B470" s="8">
        <v>45807</v>
      </c>
      <c r="C470" t="s">
        <v>1</v>
      </c>
      <c r="D470" t="s">
        <v>34</v>
      </c>
      <c r="E470" t="s">
        <v>40</v>
      </c>
      <c r="F470" t="s">
        <v>41</v>
      </c>
      <c r="G470" t="s">
        <v>37</v>
      </c>
      <c r="H470">
        <v>0</v>
      </c>
      <c r="I470">
        <v>0</v>
      </c>
      <c r="J470">
        <v>0</v>
      </c>
      <c r="K470">
        <v>0</v>
      </c>
      <c r="L470">
        <v>0</v>
      </c>
      <c r="M470">
        <v>0</v>
      </c>
      <c r="N470">
        <v>0</v>
      </c>
      <c r="O470">
        <v>0</v>
      </c>
      <c r="Q470">
        <v>59.8</v>
      </c>
    </row>
    <row r="471" spans="1:17">
      <c r="A471" t="s">
        <v>517</v>
      </c>
      <c r="B471" s="8">
        <v>45797</v>
      </c>
      <c r="C471" t="s">
        <v>1</v>
      </c>
      <c r="D471" t="s">
        <v>39</v>
      </c>
      <c r="E471" t="s">
        <v>40</v>
      </c>
      <c r="F471" t="s">
        <v>45</v>
      </c>
      <c r="G471" t="s">
        <v>42</v>
      </c>
      <c r="H471">
        <v>0</v>
      </c>
      <c r="I471">
        <v>0</v>
      </c>
      <c r="J471">
        <v>0</v>
      </c>
      <c r="K471">
        <v>0</v>
      </c>
      <c r="L471">
        <v>0</v>
      </c>
      <c r="M471">
        <v>0</v>
      </c>
      <c r="N471">
        <v>0</v>
      </c>
      <c r="O471">
        <v>0</v>
      </c>
      <c r="Q471">
        <v>58.9</v>
      </c>
    </row>
    <row r="472" spans="1:17">
      <c r="A472" t="s">
        <v>518</v>
      </c>
      <c r="B472" s="8">
        <v>45666</v>
      </c>
      <c r="C472" t="s">
        <v>1</v>
      </c>
      <c r="D472" t="s">
        <v>44</v>
      </c>
      <c r="E472" t="s">
        <v>35</v>
      </c>
      <c r="F472" t="s">
        <v>41</v>
      </c>
      <c r="G472" t="s">
        <v>42</v>
      </c>
      <c r="H472">
        <v>0</v>
      </c>
      <c r="I472">
        <v>0</v>
      </c>
      <c r="J472">
        <v>0</v>
      </c>
      <c r="K472">
        <v>0</v>
      </c>
      <c r="L472">
        <v>0</v>
      </c>
      <c r="M472">
        <v>1</v>
      </c>
      <c r="N472">
        <v>1</v>
      </c>
      <c r="O472">
        <v>0</v>
      </c>
      <c r="Q472">
        <v>52.9</v>
      </c>
    </row>
    <row r="473" spans="1:17">
      <c r="A473" t="s">
        <v>519</v>
      </c>
      <c r="B473" s="8">
        <v>45723</v>
      </c>
      <c r="C473" t="s">
        <v>1</v>
      </c>
      <c r="D473" t="s">
        <v>39</v>
      </c>
      <c r="E473" t="s">
        <v>40</v>
      </c>
      <c r="F473" t="s">
        <v>41</v>
      </c>
      <c r="G473" t="s">
        <v>42</v>
      </c>
      <c r="H473">
        <v>0</v>
      </c>
      <c r="I473">
        <v>0</v>
      </c>
      <c r="J473">
        <v>0</v>
      </c>
      <c r="K473">
        <v>0</v>
      </c>
      <c r="L473">
        <v>0</v>
      </c>
      <c r="M473">
        <v>0</v>
      </c>
      <c r="N473">
        <v>0</v>
      </c>
      <c r="O473">
        <v>0</v>
      </c>
      <c r="Q473">
        <v>67.8</v>
      </c>
    </row>
    <row r="474" spans="1:17">
      <c r="A474" t="s">
        <v>520</v>
      </c>
      <c r="B474" s="8">
        <v>45770</v>
      </c>
      <c r="C474" t="s">
        <v>1</v>
      </c>
      <c r="D474" t="s">
        <v>48</v>
      </c>
      <c r="E474" t="s">
        <v>40</v>
      </c>
      <c r="F474" t="s">
        <v>57</v>
      </c>
      <c r="G474" t="s">
        <v>42</v>
      </c>
      <c r="H474">
        <v>0</v>
      </c>
      <c r="I474">
        <v>0</v>
      </c>
      <c r="J474">
        <v>0</v>
      </c>
      <c r="K474">
        <v>0</v>
      </c>
      <c r="L474">
        <v>0</v>
      </c>
      <c r="M474">
        <v>0</v>
      </c>
      <c r="N474">
        <v>0</v>
      </c>
      <c r="O474">
        <v>0</v>
      </c>
      <c r="Q474">
        <v>48.7</v>
      </c>
    </row>
    <row r="475" spans="1:17">
      <c r="A475" t="s">
        <v>521</v>
      </c>
      <c r="B475" s="8">
        <v>45724</v>
      </c>
      <c r="C475" t="s">
        <v>1</v>
      </c>
      <c r="D475" t="s">
        <v>44</v>
      </c>
      <c r="E475" t="s">
        <v>40</v>
      </c>
      <c r="F475" t="s">
        <v>41</v>
      </c>
      <c r="G475" t="s">
        <v>37</v>
      </c>
      <c r="H475">
        <v>0</v>
      </c>
      <c r="I475">
        <v>0</v>
      </c>
      <c r="J475">
        <v>0</v>
      </c>
      <c r="K475">
        <v>0</v>
      </c>
      <c r="L475">
        <v>0</v>
      </c>
      <c r="M475">
        <v>0</v>
      </c>
      <c r="N475">
        <v>0</v>
      </c>
      <c r="O475">
        <v>0</v>
      </c>
      <c r="Q475">
        <v>59</v>
      </c>
    </row>
    <row r="476" spans="1:17">
      <c r="A476" t="s">
        <v>522</v>
      </c>
      <c r="B476" s="8">
        <v>45702</v>
      </c>
      <c r="C476" t="s">
        <v>1</v>
      </c>
      <c r="D476" t="s">
        <v>48</v>
      </c>
      <c r="E476" t="s">
        <v>40</v>
      </c>
      <c r="F476" t="s">
        <v>55</v>
      </c>
      <c r="G476" t="s">
        <v>42</v>
      </c>
      <c r="H476">
        <v>0</v>
      </c>
      <c r="I476">
        <v>0</v>
      </c>
      <c r="J476">
        <v>0</v>
      </c>
      <c r="K476">
        <v>0</v>
      </c>
      <c r="L476">
        <v>0</v>
      </c>
      <c r="M476">
        <v>0</v>
      </c>
      <c r="N476">
        <v>0</v>
      </c>
      <c r="O476">
        <v>0</v>
      </c>
      <c r="Q476">
        <v>63.2</v>
      </c>
    </row>
    <row r="477" spans="1:17">
      <c r="A477" t="s">
        <v>523</v>
      </c>
      <c r="B477" s="8">
        <v>45794</v>
      </c>
      <c r="C477" t="s">
        <v>1</v>
      </c>
      <c r="D477" t="s">
        <v>39</v>
      </c>
      <c r="E477" t="s">
        <v>40</v>
      </c>
      <c r="F477" t="s">
        <v>55</v>
      </c>
      <c r="G477" t="s">
        <v>37</v>
      </c>
      <c r="H477">
        <v>1</v>
      </c>
      <c r="I477">
        <v>0</v>
      </c>
      <c r="J477">
        <v>0</v>
      </c>
      <c r="K477">
        <v>0</v>
      </c>
      <c r="L477">
        <v>0</v>
      </c>
      <c r="M477">
        <v>0</v>
      </c>
      <c r="N477">
        <v>0</v>
      </c>
      <c r="O477">
        <v>0</v>
      </c>
      <c r="Q477">
        <v>68.7</v>
      </c>
    </row>
    <row r="478" spans="1:17">
      <c r="A478" t="s">
        <v>524</v>
      </c>
      <c r="B478" s="8">
        <v>45772</v>
      </c>
      <c r="C478" t="s">
        <v>1</v>
      </c>
      <c r="D478" t="s">
        <v>48</v>
      </c>
      <c r="E478" t="s">
        <v>40</v>
      </c>
      <c r="F478" t="s">
        <v>55</v>
      </c>
      <c r="G478" t="s">
        <v>42</v>
      </c>
      <c r="H478">
        <v>0</v>
      </c>
      <c r="I478">
        <v>0</v>
      </c>
      <c r="J478">
        <v>0</v>
      </c>
      <c r="K478">
        <v>0</v>
      </c>
      <c r="L478">
        <v>0</v>
      </c>
      <c r="M478">
        <v>0</v>
      </c>
      <c r="N478">
        <v>0</v>
      </c>
      <c r="O478">
        <v>0</v>
      </c>
      <c r="Q478">
        <v>52.1</v>
      </c>
    </row>
    <row r="479" spans="1:17">
      <c r="A479" t="s">
        <v>525</v>
      </c>
      <c r="B479" s="8">
        <v>45720</v>
      </c>
      <c r="C479" t="s">
        <v>1</v>
      </c>
      <c r="D479" t="s">
        <v>48</v>
      </c>
      <c r="E479" t="s">
        <v>35</v>
      </c>
      <c r="F479" t="s">
        <v>57</v>
      </c>
      <c r="G479" t="s">
        <v>37</v>
      </c>
      <c r="H479">
        <v>0</v>
      </c>
      <c r="I479">
        <v>0</v>
      </c>
      <c r="J479">
        <v>0</v>
      </c>
      <c r="K479">
        <v>0</v>
      </c>
      <c r="L479">
        <v>0</v>
      </c>
      <c r="M479">
        <v>0</v>
      </c>
      <c r="N479">
        <v>0</v>
      </c>
      <c r="O479">
        <v>0</v>
      </c>
      <c r="Q479">
        <v>56.5</v>
      </c>
    </row>
    <row r="480" spans="1:17">
      <c r="A480" t="s">
        <v>526</v>
      </c>
      <c r="B480" s="8">
        <v>45734</v>
      </c>
      <c r="C480" t="s">
        <v>1</v>
      </c>
      <c r="D480" t="s">
        <v>48</v>
      </c>
      <c r="E480" t="s">
        <v>40</v>
      </c>
      <c r="F480" t="s">
        <v>41</v>
      </c>
      <c r="G480" t="s">
        <v>42</v>
      </c>
      <c r="H480">
        <v>1</v>
      </c>
      <c r="I480">
        <v>0</v>
      </c>
      <c r="J480">
        <v>0</v>
      </c>
      <c r="K480">
        <v>0</v>
      </c>
      <c r="L480">
        <v>0</v>
      </c>
      <c r="M480">
        <v>0</v>
      </c>
      <c r="N480">
        <v>0</v>
      </c>
      <c r="O480">
        <v>0</v>
      </c>
      <c r="Q480">
        <v>64.400000000000006</v>
      </c>
    </row>
    <row r="481" spans="1:17">
      <c r="A481" t="s">
        <v>527</v>
      </c>
      <c r="B481" s="8">
        <v>45687</v>
      </c>
      <c r="C481" t="s">
        <v>1</v>
      </c>
      <c r="D481" t="s">
        <v>39</v>
      </c>
      <c r="E481" t="s">
        <v>40</v>
      </c>
      <c r="F481" t="s">
        <v>45</v>
      </c>
      <c r="G481" t="s">
        <v>46</v>
      </c>
      <c r="H481">
        <v>1</v>
      </c>
      <c r="I481">
        <v>0</v>
      </c>
      <c r="J481">
        <v>0</v>
      </c>
      <c r="K481">
        <v>0</v>
      </c>
      <c r="L481">
        <v>0</v>
      </c>
      <c r="M481">
        <v>0</v>
      </c>
      <c r="N481">
        <v>0</v>
      </c>
      <c r="O481">
        <v>0</v>
      </c>
      <c r="Q481">
        <v>65.900000000000006</v>
      </c>
    </row>
    <row r="482" spans="1:17">
      <c r="A482" t="s">
        <v>528</v>
      </c>
      <c r="B482" s="8">
        <v>45797</v>
      </c>
      <c r="C482" t="s">
        <v>1</v>
      </c>
      <c r="D482" t="s">
        <v>39</v>
      </c>
      <c r="E482" t="s">
        <v>50</v>
      </c>
      <c r="F482" t="s">
        <v>55</v>
      </c>
      <c r="G482" t="s">
        <v>42</v>
      </c>
      <c r="H482">
        <v>1</v>
      </c>
      <c r="I482">
        <v>1</v>
      </c>
      <c r="J482">
        <v>1</v>
      </c>
      <c r="K482">
        <v>0</v>
      </c>
      <c r="L482">
        <v>0</v>
      </c>
      <c r="M482">
        <v>0</v>
      </c>
      <c r="N482">
        <v>0</v>
      </c>
      <c r="O482">
        <v>0</v>
      </c>
      <c r="Q482">
        <v>100</v>
      </c>
    </row>
    <row r="483" spans="1:17">
      <c r="A483" t="s">
        <v>529</v>
      </c>
      <c r="B483" s="8">
        <v>45701</v>
      </c>
      <c r="C483" t="s">
        <v>1</v>
      </c>
      <c r="D483" t="s">
        <v>34</v>
      </c>
      <c r="F483" t="s">
        <v>41</v>
      </c>
      <c r="G483" t="s">
        <v>37</v>
      </c>
      <c r="H483">
        <v>1</v>
      </c>
      <c r="I483">
        <v>1</v>
      </c>
      <c r="J483">
        <v>1</v>
      </c>
      <c r="K483">
        <v>0</v>
      </c>
      <c r="L483">
        <v>0</v>
      </c>
      <c r="M483">
        <v>0</v>
      </c>
      <c r="N483">
        <v>0</v>
      </c>
      <c r="O483">
        <v>0</v>
      </c>
      <c r="Q483">
        <v>50.4</v>
      </c>
    </row>
    <row r="484" spans="1:17">
      <c r="A484" t="s">
        <v>530</v>
      </c>
      <c r="B484" s="8">
        <v>45759</v>
      </c>
      <c r="C484" t="s">
        <v>1</v>
      </c>
      <c r="D484" t="s">
        <v>39</v>
      </c>
      <c r="E484" t="s">
        <v>35</v>
      </c>
      <c r="F484" t="s">
        <v>41</v>
      </c>
      <c r="G484" t="s">
        <v>37</v>
      </c>
      <c r="H484">
        <v>0</v>
      </c>
      <c r="I484">
        <v>0</v>
      </c>
      <c r="J484">
        <v>0</v>
      </c>
      <c r="K484">
        <v>0</v>
      </c>
      <c r="L484">
        <v>0</v>
      </c>
      <c r="M484">
        <v>0</v>
      </c>
      <c r="N484">
        <v>0</v>
      </c>
      <c r="O484">
        <v>0</v>
      </c>
      <c r="Q484">
        <v>41.5</v>
      </c>
    </row>
    <row r="485" spans="1:17">
      <c r="A485" t="s">
        <v>531</v>
      </c>
      <c r="B485" s="8">
        <v>45754</v>
      </c>
      <c r="C485" t="s">
        <v>1</v>
      </c>
      <c r="D485" t="s">
        <v>34</v>
      </c>
      <c r="E485" t="s">
        <v>40</v>
      </c>
      <c r="F485" t="s">
        <v>36</v>
      </c>
      <c r="G485" t="s">
        <v>42</v>
      </c>
      <c r="H485">
        <v>0</v>
      </c>
      <c r="I485">
        <v>0</v>
      </c>
      <c r="J485">
        <v>0</v>
      </c>
      <c r="K485">
        <v>0</v>
      </c>
      <c r="L485">
        <v>0</v>
      </c>
      <c r="M485">
        <v>0</v>
      </c>
      <c r="N485">
        <v>0</v>
      </c>
      <c r="O485">
        <v>0</v>
      </c>
      <c r="Q485">
        <v>86.2</v>
      </c>
    </row>
    <row r="486" spans="1:17">
      <c r="A486" t="s">
        <v>532</v>
      </c>
      <c r="B486" s="8">
        <v>45728</v>
      </c>
      <c r="C486" t="s">
        <v>1</v>
      </c>
      <c r="D486" t="s">
        <v>34</v>
      </c>
      <c r="E486" t="s">
        <v>35</v>
      </c>
      <c r="F486" t="s">
        <v>57</v>
      </c>
      <c r="G486" t="s">
        <v>42</v>
      </c>
      <c r="H486">
        <v>1</v>
      </c>
      <c r="I486">
        <v>1</v>
      </c>
      <c r="J486">
        <v>1</v>
      </c>
      <c r="K486">
        <v>0</v>
      </c>
      <c r="L486">
        <v>0</v>
      </c>
      <c r="M486">
        <v>2</v>
      </c>
      <c r="N486">
        <v>1</v>
      </c>
      <c r="O486">
        <v>0</v>
      </c>
      <c r="Q486">
        <v>50.8</v>
      </c>
    </row>
    <row r="487" spans="1:17">
      <c r="A487" t="s">
        <v>533</v>
      </c>
      <c r="B487" s="8">
        <v>45695</v>
      </c>
      <c r="C487" t="s">
        <v>1</v>
      </c>
      <c r="D487" t="s">
        <v>39</v>
      </c>
      <c r="E487" t="s">
        <v>40</v>
      </c>
      <c r="F487" t="s">
        <v>41</v>
      </c>
      <c r="G487" t="s">
        <v>42</v>
      </c>
      <c r="H487">
        <v>1</v>
      </c>
      <c r="I487">
        <v>0</v>
      </c>
      <c r="J487">
        <v>0</v>
      </c>
      <c r="K487">
        <v>0</v>
      </c>
      <c r="L487">
        <v>0</v>
      </c>
      <c r="M487">
        <v>0</v>
      </c>
      <c r="N487">
        <v>0</v>
      </c>
      <c r="O487">
        <v>0</v>
      </c>
      <c r="Q487">
        <v>50.9</v>
      </c>
    </row>
    <row r="488" spans="1:17">
      <c r="A488" t="s">
        <v>534</v>
      </c>
      <c r="B488" s="8">
        <v>45782</v>
      </c>
      <c r="C488" t="s">
        <v>1</v>
      </c>
      <c r="D488" t="s">
        <v>34</v>
      </c>
      <c r="E488" t="s">
        <v>40</v>
      </c>
      <c r="F488" t="s">
        <v>41</v>
      </c>
      <c r="G488" t="s">
        <v>46</v>
      </c>
      <c r="H488">
        <v>1</v>
      </c>
      <c r="I488">
        <v>1</v>
      </c>
      <c r="J488">
        <v>0</v>
      </c>
      <c r="K488">
        <v>0</v>
      </c>
      <c r="L488">
        <v>0</v>
      </c>
      <c r="M488">
        <v>0</v>
      </c>
      <c r="N488">
        <v>0</v>
      </c>
      <c r="O488">
        <v>0</v>
      </c>
      <c r="Q488">
        <v>87.5</v>
      </c>
    </row>
    <row r="489" spans="1:17">
      <c r="A489" t="s">
        <v>535</v>
      </c>
      <c r="B489" s="8">
        <v>45734</v>
      </c>
      <c r="C489" t="s">
        <v>1</v>
      </c>
      <c r="D489" t="s">
        <v>48</v>
      </c>
      <c r="E489" t="s">
        <v>40</v>
      </c>
      <c r="F489" t="s">
        <v>55</v>
      </c>
      <c r="G489" t="s">
        <v>42</v>
      </c>
      <c r="H489">
        <v>0</v>
      </c>
      <c r="I489">
        <v>0</v>
      </c>
      <c r="J489">
        <v>0</v>
      </c>
      <c r="K489">
        <v>0</v>
      </c>
      <c r="L489">
        <v>0</v>
      </c>
      <c r="M489">
        <v>0</v>
      </c>
      <c r="N489">
        <v>0</v>
      </c>
      <c r="O489">
        <v>0</v>
      </c>
      <c r="Q489">
        <v>43.6</v>
      </c>
    </row>
    <row r="490" spans="1:17">
      <c r="A490" t="s">
        <v>536</v>
      </c>
      <c r="B490" s="8">
        <v>45662</v>
      </c>
      <c r="C490" t="s">
        <v>1</v>
      </c>
      <c r="D490" t="s">
        <v>48</v>
      </c>
      <c r="E490" t="s">
        <v>40</v>
      </c>
      <c r="F490" t="s">
        <v>45</v>
      </c>
      <c r="G490" t="s">
        <v>37</v>
      </c>
      <c r="H490">
        <v>1</v>
      </c>
      <c r="I490">
        <v>0</v>
      </c>
      <c r="J490">
        <v>0</v>
      </c>
      <c r="K490">
        <v>0</v>
      </c>
      <c r="L490">
        <v>0</v>
      </c>
      <c r="M490">
        <v>0</v>
      </c>
      <c r="N490">
        <v>0</v>
      </c>
      <c r="O490">
        <v>0</v>
      </c>
      <c r="Q490">
        <v>55.5</v>
      </c>
    </row>
    <row r="491" spans="1:17">
      <c r="A491" t="s">
        <v>537</v>
      </c>
      <c r="B491" s="8">
        <v>45787</v>
      </c>
      <c r="C491" t="s">
        <v>1</v>
      </c>
      <c r="D491" t="s">
        <v>48</v>
      </c>
      <c r="E491" t="s">
        <v>35</v>
      </c>
      <c r="F491" t="s">
        <v>55</v>
      </c>
      <c r="G491" t="s">
        <v>37</v>
      </c>
      <c r="H491">
        <v>0</v>
      </c>
      <c r="I491">
        <v>0</v>
      </c>
      <c r="J491">
        <v>0</v>
      </c>
      <c r="K491">
        <v>0</v>
      </c>
      <c r="L491">
        <v>0</v>
      </c>
      <c r="M491">
        <v>0</v>
      </c>
      <c r="N491">
        <v>0</v>
      </c>
      <c r="O491">
        <v>0</v>
      </c>
      <c r="Q491">
        <v>78.599999999999994</v>
      </c>
    </row>
    <row r="492" spans="1:17">
      <c r="A492" t="s">
        <v>538</v>
      </c>
      <c r="B492" s="8">
        <v>45660</v>
      </c>
      <c r="C492" t="s">
        <v>1</v>
      </c>
      <c r="D492" t="s">
        <v>48</v>
      </c>
      <c r="E492" t="s">
        <v>40</v>
      </c>
      <c r="F492" t="s">
        <v>57</v>
      </c>
      <c r="G492" t="s">
        <v>37</v>
      </c>
      <c r="H492">
        <v>1</v>
      </c>
      <c r="I492">
        <v>1</v>
      </c>
      <c r="J492">
        <v>0</v>
      </c>
      <c r="K492">
        <v>0</v>
      </c>
      <c r="L492">
        <v>0</v>
      </c>
      <c r="M492">
        <v>1</v>
      </c>
      <c r="N492">
        <v>1</v>
      </c>
      <c r="O492">
        <v>0</v>
      </c>
      <c r="Q492">
        <v>44.3</v>
      </c>
    </row>
    <row r="493" spans="1:17">
      <c r="A493" t="s">
        <v>539</v>
      </c>
      <c r="B493" s="8">
        <v>45785</v>
      </c>
      <c r="C493" t="s">
        <v>1</v>
      </c>
      <c r="D493" t="s">
        <v>48</v>
      </c>
      <c r="E493" t="s">
        <v>40</v>
      </c>
      <c r="F493" t="s">
        <v>45</v>
      </c>
      <c r="G493" t="s">
        <v>42</v>
      </c>
      <c r="H493">
        <v>1</v>
      </c>
      <c r="I493">
        <v>1</v>
      </c>
      <c r="J493">
        <v>0</v>
      </c>
      <c r="K493">
        <v>0</v>
      </c>
      <c r="L493">
        <v>0</v>
      </c>
      <c r="M493">
        <v>0</v>
      </c>
      <c r="N493">
        <v>0</v>
      </c>
      <c r="O493">
        <v>0</v>
      </c>
      <c r="Q493">
        <v>45.2</v>
      </c>
    </row>
    <row r="494" spans="1:17">
      <c r="A494" t="s">
        <v>540</v>
      </c>
      <c r="B494" s="8">
        <v>45721</v>
      </c>
      <c r="C494" t="s">
        <v>1</v>
      </c>
      <c r="D494" t="s">
        <v>48</v>
      </c>
      <c r="E494" t="s">
        <v>35</v>
      </c>
      <c r="F494" t="s">
        <v>36</v>
      </c>
      <c r="G494" t="s">
        <v>37</v>
      </c>
      <c r="H494">
        <v>1</v>
      </c>
      <c r="I494">
        <v>0</v>
      </c>
      <c r="J494">
        <v>0</v>
      </c>
      <c r="K494">
        <v>0</v>
      </c>
      <c r="L494">
        <v>0</v>
      </c>
      <c r="M494">
        <v>2</v>
      </c>
      <c r="N494">
        <v>1</v>
      </c>
      <c r="O494">
        <v>0</v>
      </c>
      <c r="Q494">
        <v>46.1</v>
      </c>
    </row>
    <row r="495" spans="1:17">
      <c r="A495" t="s">
        <v>541</v>
      </c>
      <c r="B495" s="8">
        <v>45705</v>
      </c>
      <c r="C495" t="s">
        <v>1</v>
      </c>
      <c r="D495" t="s">
        <v>34</v>
      </c>
      <c r="E495" t="s">
        <v>40</v>
      </c>
      <c r="F495" t="s">
        <v>41</v>
      </c>
      <c r="G495" t="s">
        <v>46</v>
      </c>
      <c r="H495">
        <v>1</v>
      </c>
      <c r="I495">
        <v>0</v>
      </c>
      <c r="J495">
        <v>0</v>
      </c>
      <c r="K495">
        <v>0</v>
      </c>
      <c r="L495">
        <v>0</v>
      </c>
      <c r="M495">
        <v>0</v>
      </c>
      <c r="N495">
        <v>0</v>
      </c>
      <c r="O495">
        <v>0</v>
      </c>
      <c r="Q495">
        <v>49.6</v>
      </c>
    </row>
    <row r="496" spans="1:17">
      <c r="A496" t="s">
        <v>542</v>
      </c>
      <c r="B496" s="8">
        <v>45666</v>
      </c>
      <c r="C496" t="s">
        <v>1</v>
      </c>
      <c r="D496" t="s">
        <v>48</v>
      </c>
      <c r="E496" t="s">
        <v>40</v>
      </c>
      <c r="F496" t="s">
        <v>55</v>
      </c>
      <c r="G496" t="s">
        <v>37</v>
      </c>
      <c r="H496">
        <v>0</v>
      </c>
      <c r="I496">
        <v>0</v>
      </c>
      <c r="J496">
        <v>0</v>
      </c>
      <c r="K496">
        <v>0</v>
      </c>
      <c r="L496">
        <v>0</v>
      </c>
      <c r="M496">
        <v>0</v>
      </c>
      <c r="N496">
        <v>0</v>
      </c>
      <c r="O496">
        <v>0</v>
      </c>
      <c r="Q496">
        <v>70.5</v>
      </c>
    </row>
    <row r="497" spans="1:17">
      <c r="A497" t="s">
        <v>543</v>
      </c>
      <c r="B497" s="8">
        <v>45782</v>
      </c>
      <c r="C497" t="s">
        <v>1</v>
      </c>
      <c r="D497" t="s">
        <v>48</v>
      </c>
      <c r="E497" t="s">
        <v>40</v>
      </c>
      <c r="F497" t="s">
        <v>36</v>
      </c>
      <c r="G497" t="s">
        <v>37</v>
      </c>
      <c r="H497">
        <v>0</v>
      </c>
      <c r="I497">
        <v>0</v>
      </c>
      <c r="J497">
        <v>0</v>
      </c>
      <c r="K497">
        <v>0</v>
      </c>
      <c r="L497">
        <v>0</v>
      </c>
      <c r="M497">
        <v>1</v>
      </c>
      <c r="N497">
        <v>1</v>
      </c>
      <c r="O497">
        <v>0</v>
      </c>
      <c r="Q497">
        <v>60.8</v>
      </c>
    </row>
    <row r="498" spans="1:17">
      <c r="A498" t="s">
        <v>544</v>
      </c>
      <c r="B498" s="8">
        <v>45763</v>
      </c>
      <c r="C498" t="s">
        <v>1</v>
      </c>
      <c r="D498" t="s">
        <v>44</v>
      </c>
      <c r="E498" t="s">
        <v>40</v>
      </c>
      <c r="F498" t="s">
        <v>36</v>
      </c>
      <c r="G498" t="s">
        <v>37</v>
      </c>
      <c r="H498">
        <v>0</v>
      </c>
      <c r="I498">
        <v>0</v>
      </c>
      <c r="J498">
        <v>0</v>
      </c>
      <c r="K498">
        <v>0</v>
      </c>
      <c r="L498">
        <v>0</v>
      </c>
      <c r="M498">
        <v>1</v>
      </c>
      <c r="N498">
        <v>1</v>
      </c>
      <c r="O498">
        <v>0</v>
      </c>
      <c r="Q498">
        <v>50.5</v>
      </c>
    </row>
    <row r="499" spans="1:17">
      <c r="A499" t="s">
        <v>545</v>
      </c>
      <c r="B499" s="8">
        <v>45718</v>
      </c>
      <c r="C499" t="s">
        <v>1</v>
      </c>
      <c r="D499" t="s">
        <v>48</v>
      </c>
      <c r="E499" t="s">
        <v>35</v>
      </c>
      <c r="F499" t="s">
        <v>41</v>
      </c>
      <c r="G499" t="s">
        <v>42</v>
      </c>
      <c r="H499">
        <v>1</v>
      </c>
      <c r="I499">
        <v>0</v>
      </c>
      <c r="J499">
        <v>0</v>
      </c>
      <c r="K499">
        <v>0</v>
      </c>
      <c r="L499">
        <v>0</v>
      </c>
      <c r="M499">
        <v>0</v>
      </c>
      <c r="N499">
        <v>0</v>
      </c>
      <c r="O499">
        <v>0</v>
      </c>
      <c r="Q499">
        <v>54.9</v>
      </c>
    </row>
    <row r="500" spans="1:17">
      <c r="A500" t="s">
        <v>546</v>
      </c>
      <c r="B500" s="8">
        <v>45761</v>
      </c>
      <c r="C500" t="s">
        <v>1</v>
      </c>
      <c r="D500" t="s">
        <v>48</v>
      </c>
      <c r="E500" t="s">
        <v>40</v>
      </c>
      <c r="F500" t="s">
        <v>57</v>
      </c>
      <c r="G500" t="s">
        <v>46</v>
      </c>
      <c r="H500">
        <v>0</v>
      </c>
      <c r="I500">
        <v>0</v>
      </c>
      <c r="J500">
        <v>0</v>
      </c>
      <c r="K500">
        <v>0</v>
      </c>
      <c r="L500">
        <v>0</v>
      </c>
      <c r="M500">
        <v>0</v>
      </c>
      <c r="N500">
        <v>0</v>
      </c>
      <c r="O500">
        <v>0</v>
      </c>
      <c r="Q500">
        <v>29.9</v>
      </c>
    </row>
    <row r="501" spans="1:17">
      <c r="A501" t="s">
        <v>547</v>
      </c>
      <c r="B501" s="8">
        <v>45703</v>
      </c>
      <c r="C501" t="s">
        <v>1</v>
      </c>
      <c r="D501" t="s">
        <v>44</v>
      </c>
      <c r="E501" t="s">
        <v>35</v>
      </c>
      <c r="F501" t="s">
        <v>45</v>
      </c>
      <c r="G501" t="s">
        <v>37</v>
      </c>
      <c r="H501">
        <v>0</v>
      </c>
      <c r="I501">
        <v>0</v>
      </c>
      <c r="J501">
        <v>0</v>
      </c>
      <c r="K501">
        <v>0</v>
      </c>
      <c r="L501">
        <v>0</v>
      </c>
      <c r="M501">
        <v>0</v>
      </c>
      <c r="N501">
        <v>0</v>
      </c>
      <c r="O501">
        <v>0</v>
      </c>
      <c r="Q501">
        <v>48.3</v>
      </c>
    </row>
    <row r="502" spans="1:17">
      <c r="A502" t="s">
        <v>548</v>
      </c>
      <c r="B502" s="8">
        <v>45701</v>
      </c>
      <c r="C502" t="s">
        <v>1</v>
      </c>
      <c r="D502" t="s">
        <v>39</v>
      </c>
      <c r="E502" t="s">
        <v>40</v>
      </c>
      <c r="F502" t="s">
        <v>57</v>
      </c>
      <c r="G502" t="s">
        <v>42</v>
      </c>
      <c r="H502">
        <v>1</v>
      </c>
      <c r="I502">
        <v>1</v>
      </c>
      <c r="J502">
        <v>1</v>
      </c>
      <c r="K502">
        <v>1</v>
      </c>
      <c r="L502">
        <v>513.61</v>
      </c>
      <c r="M502">
        <v>0</v>
      </c>
      <c r="N502">
        <v>0</v>
      </c>
      <c r="O502">
        <v>0</v>
      </c>
      <c r="P502">
        <v>7</v>
      </c>
      <c r="Q502">
        <v>41.3</v>
      </c>
    </row>
    <row r="503" spans="1:17">
      <c r="A503" t="s">
        <v>549</v>
      </c>
      <c r="B503" s="8">
        <v>45722</v>
      </c>
      <c r="C503" t="s">
        <v>1</v>
      </c>
      <c r="D503" t="s">
        <v>34</v>
      </c>
      <c r="E503" t="s">
        <v>40</v>
      </c>
      <c r="F503" t="s">
        <v>36</v>
      </c>
      <c r="G503" t="s">
        <v>42</v>
      </c>
      <c r="H503">
        <v>0</v>
      </c>
      <c r="I503">
        <v>0</v>
      </c>
      <c r="J503">
        <v>0</v>
      </c>
      <c r="K503">
        <v>0</v>
      </c>
      <c r="L503">
        <v>0</v>
      </c>
      <c r="M503">
        <v>0</v>
      </c>
      <c r="N503">
        <v>0</v>
      </c>
      <c r="O503">
        <v>0</v>
      </c>
      <c r="Q503">
        <v>61.4</v>
      </c>
    </row>
    <row r="504" spans="1:17">
      <c r="A504" t="s">
        <v>550</v>
      </c>
      <c r="B504" s="8">
        <v>45706</v>
      </c>
      <c r="C504" t="s">
        <v>1</v>
      </c>
      <c r="D504" t="s">
        <v>48</v>
      </c>
      <c r="E504" t="s">
        <v>35</v>
      </c>
      <c r="F504" t="s">
        <v>57</v>
      </c>
      <c r="G504" t="s">
        <v>42</v>
      </c>
      <c r="H504">
        <v>0</v>
      </c>
      <c r="I504">
        <v>0</v>
      </c>
      <c r="J504">
        <v>0</v>
      </c>
      <c r="K504">
        <v>0</v>
      </c>
      <c r="L504">
        <v>0</v>
      </c>
      <c r="M504">
        <v>0</v>
      </c>
      <c r="N504">
        <v>0</v>
      </c>
      <c r="O504">
        <v>0</v>
      </c>
      <c r="Q504">
        <v>57.8</v>
      </c>
    </row>
    <row r="505" spans="1:17">
      <c r="A505" t="s">
        <v>551</v>
      </c>
      <c r="B505" s="8">
        <v>45754</v>
      </c>
      <c r="C505" t="s">
        <v>1</v>
      </c>
      <c r="D505" t="s">
        <v>34</v>
      </c>
      <c r="E505" t="s">
        <v>35</v>
      </c>
      <c r="F505" t="s">
        <v>41</v>
      </c>
      <c r="G505" t="s">
        <v>42</v>
      </c>
      <c r="H505">
        <v>0</v>
      </c>
      <c r="I505">
        <v>0</v>
      </c>
      <c r="J505">
        <v>0</v>
      </c>
      <c r="K505">
        <v>0</v>
      </c>
      <c r="L505">
        <v>0</v>
      </c>
      <c r="M505">
        <v>0</v>
      </c>
      <c r="N505">
        <v>0</v>
      </c>
      <c r="O505">
        <v>0</v>
      </c>
      <c r="Q505">
        <v>78.2</v>
      </c>
    </row>
    <row r="506" spans="1:17">
      <c r="A506" t="s">
        <v>552</v>
      </c>
      <c r="B506" s="8">
        <v>45753</v>
      </c>
      <c r="C506" t="s">
        <v>1</v>
      </c>
      <c r="D506" t="s">
        <v>34</v>
      </c>
      <c r="E506" t="s">
        <v>40</v>
      </c>
      <c r="F506" t="s">
        <v>55</v>
      </c>
      <c r="G506" t="s">
        <v>42</v>
      </c>
      <c r="H506">
        <v>0</v>
      </c>
      <c r="I506">
        <v>0</v>
      </c>
      <c r="J506">
        <v>0</v>
      </c>
      <c r="K506">
        <v>0</v>
      </c>
      <c r="L506">
        <v>0</v>
      </c>
      <c r="M506">
        <v>0</v>
      </c>
      <c r="N506">
        <v>0</v>
      </c>
      <c r="O506">
        <v>0</v>
      </c>
      <c r="Q506">
        <v>63.8</v>
      </c>
    </row>
    <row r="507" spans="1:17">
      <c r="A507" t="s">
        <v>553</v>
      </c>
      <c r="B507" s="8">
        <v>45687</v>
      </c>
      <c r="C507" t="s">
        <v>1</v>
      </c>
      <c r="D507" t="s">
        <v>34</v>
      </c>
      <c r="E507" t="s">
        <v>35</v>
      </c>
      <c r="F507" t="s">
        <v>57</v>
      </c>
      <c r="G507" t="s">
        <v>42</v>
      </c>
      <c r="H507">
        <v>1</v>
      </c>
      <c r="I507">
        <v>0</v>
      </c>
      <c r="J507">
        <v>0</v>
      </c>
      <c r="K507">
        <v>0</v>
      </c>
      <c r="L507">
        <v>0</v>
      </c>
      <c r="M507">
        <v>0</v>
      </c>
      <c r="N507">
        <v>0</v>
      </c>
      <c r="O507">
        <v>0</v>
      </c>
      <c r="Q507">
        <v>56.8</v>
      </c>
    </row>
    <row r="508" spans="1:17">
      <c r="A508" t="s">
        <v>554</v>
      </c>
      <c r="B508" s="8">
        <v>45790</v>
      </c>
      <c r="C508" t="s">
        <v>1</v>
      </c>
      <c r="D508" t="s">
        <v>48</v>
      </c>
      <c r="E508" t="s">
        <v>35</v>
      </c>
      <c r="F508" t="s">
        <v>41</v>
      </c>
      <c r="G508" t="s">
        <v>37</v>
      </c>
      <c r="H508">
        <v>1</v>
      </c>
      <c r="I508">
        <v>1</v>
      </c>
      <c r="J508">
        <v>0</v>
      </c>
      <c r="K508">
        <v>0</v>
      </c>
      <c r="L508">
        <v>0</v>
      </c>
      <c r="M508">
        <v>0</v>
      </c>
      <c r="N508">
        <v>0</v>
      </c>
      <c r="O508">
        <v>0</v>
      </c>
      <c r="Q508">
        <v>59.6</v>
      </c>
    </row>
    <row r="509" spans="1:17">
      <c r="A509" t="s">
        <v>555</v>
      </c>
      <c r="B509" s="8">
        <v>45677</v>
      </c>
      <c r="C509" t="s">
        <v>1</v>
      </c>
      <c r="D509" t="s">
        <v>39</v>
      </c>
      <c r="E509" t="s">
        <v>40</v>
      </c>
      <c r="F509" t="s">
        <v>45</v>
      </c>
      <c r="G509" t="s">
        <v>46</v>
      </c>
      <c r="H509">
        <v>1</v>
      </c>
      <c r="I509">
        <v>1</v>
      </c>
      <c r="J509">
        <v>0</v>
      </c>
      <c r="K509">
        <v>0</v>
      </c>
      <c r="L509">
        <v>0</v>
      </c>
      <c r="M509">
        <v>0</v>
      </c>
      <c r="N509">
        <v>0</v>
      </c>
      <c r="O509">
        <v>0</v>
      </c>
      <c r="Q509">
        <v>50</v>
      </c>
    </row>
    <row r="510" spans="1:17">
      <c r="A510" t="s">
        <v>556</v>
      </c>
      <c r="B510" s="8">
        <v>45687</v>
      </c>
      <c r="C510" t="s">
        <v>1</v>
      </c>
      <c r="D510" t="s">
        <v>34</v>
      </c>
      <c r="E510" t="s">
        <v>50</v>
      </c>
      <c r="F510" t="s">
        <v>41</v>
      </c>
      <c r="G510" t="s">
        <v>42</v>
      </c>
      <c r="H510">
        <v>1</v>
      </c>
      <c r="I510">
        <v>0</v>
      </c>
      <c r="J510">
        <v>0</v>
      </c>
      <c r="K510">
        <v>0</v>
      </c>
      <c r="L510">
        <v>0</v>
      </c>
      <c r="M510">
        <v>0</v>
      </c>
      <c r="N510">
        <v>0</v>
      </c>
      <c r="O510">
        <v>0</v>
      </c>
      <c r="Q510">
        <v>35.700000000000003</v>
      </c>
    </row>
    <row r="511" spans="1:17">
      <c r="A511" t="s">
        <v>557</v>
      </c>
      <c r="B511" s="8">
        <v>45670</v>
      </c>
      <c r="C511" t="s">
        <v>1</v>
      </c>
      <c r="D511" t="s">
        <v>48</v>
      </c>
      <c r="E511" t="s">
        <v>40</v>
      </c>
      <c r="F511" t="s">
        <v>41</v>
      </c>
      <c r="G511" t="s">
        <v>42</v>
      </c>
      <c r="H511">
        <v>0</v>
      </c>
      <c r="I511">
        <v>0</v>
      </c>
      <c r="J511">
        <v>0</v>
      </c>
      <c r="K511">
        <v>0</v>
      </c>
      <c r="L511">
        <v>0</v>
      </c>
      <c r="M511">
        <v>2</v>
      </c>
      <c r="N511">
        <v>1</v>
      </c>
      <c r="O511">
        <v>0</v>
      </c>
      <c r="Q511">
        <v>47.2</v>
      </c>
    </row>
    <row r="512" spans="1:17">
      <c r="A512" t="s">
        <v>558</v>
      </c>
      <c r="B512" s="8">
        <v>45699</v>
      </c>
      <c r="C512" t="s">
        <v>1</v>
      </c>
      <c r="D512" t="s">
        <v>34</v>
      </c>
      <c r="E512" t="s">
        <v>40</v>
      </c>
      <c r="F512" t="s">
        <v>57</v>
      </c>
      <c r="G512" t="s">
        <v>42</v>
      </c>
      <c r="H512">
        <v>1</v>
      </c>
      <c r="I512">
        <v>1</v>
      </c>
      <c r="J512">
        <v>0</v>
      </c>
      <c r="K512">
        <v>0</v>
      </c>
      <c r="L512">
        <v>0</v>
      </c>
      <c r="M512">
        <v>0</v>
      </c>
      <c r="N512">
        <v>0</v>
      </c>
      <c r="O512">
        <v>0</v>
      </c>
      <c r="Q512">
        <v>56.9</v>
      </c>
    </row>
    <row r="513" spans="1:17">
      <c r="A513" t="s">
        <v>559</v>
      </c>
      <c r="B513" s="8">
        <v>45762</v>
      </c>
      <c r="C513" t="s">
        <v>1</v>
      </c>
      <c r="D513" t="s">
        <v>48</v>
      </c>
      <c r="E513" t="s">
        <v>40</v>
      </c>
      <c r="F513" t="s">
        <v>41</v>
      </c>
      <c r="G513" t="s">
        <v>42</v>
      </c>
      <c r="H513">
        <v>0</v>
      </c>
      <c r="I513">
        <v>0</v>
      </c>
      <c r="J513">
        <v>0</v>
      </c>
      <c r="K513">
        <v>0</v>
      </c>
      <c r="L513">
        <v>0</v>
      </c>
      <c r="M513">
        <v>1</v>
      </c>
      <c r="N513">
        <v>1</v>
      </c>
      <c r="O513">
        <v>0</v>
      </c>
      <c r="Q513">
        <v>57.2</v>
      </c>
    </row>
    <row r="514" spans="1:17">
      <c r="A514" t="s">
        <v>560</v>
      </c>
      <c r="B514" s="8">
        <v>45701</v>
      </c>
      <c r="C514" t="s">
        <v>1</v>
      </c>
      <c r="D514" t="s">
        <v>48</v>
      </c>
      <c r="E514" t="s">
        <v>40</v>
      </c>
      <c r="G514" t="s">
        <v>42</v>
      </c>
      <c r="H514">
        <v>1</v>
      </c>
      <c r="I514">
        <v>1</v>
      </c>
      <c r="J514">
        <v>0</v>
      </c>
      <c r="K514">
        <v>0</v>
      </c>
      <c r="L514">
        <v>0</v>
      </c>
      <c r="M514">
        <v>0</v>
      </c>
      <c r="N514">
        <v>0</v>
      </c>
      <c r="O514">
        <v>0</v>
      </c>
      <c r="Q514">
        <v>31.4</v>
      </c>
    </row>
    <row r="515" spans="1:17">
      <c r="A515" t="s">
        <v>561</v>
      </c>
      <c r="B515" s="8">
        <v>45786</v>
      </c>
      <c r="C515" t="s">
        <v>1</v>
      </c>
      <c r="D515" t="s">
        <v>48</v>
      </c>
      <c r="E515" t="s">
        <v>35</v>
      </c>
      <c r="F515" t="s">
        <v>41</v>
      </c>
      <c r="G515" t="s">
        <v>42</v>
      </c>
      <c r="H515">
        <v>0</v>
      </c>
      <c r="I515">
        <v>0</v>
      </c>
      <c r="J515">
        <v>0</v>
      </c>
      <c r="K515">
        <v>0</v>
      </c>
      <c r="L515">
        <v>0</v>
      </c>
      <c r="M515">
        <v>0</v>
      </c>
      <c r="N515">
        <v>0</v>
      </c>
      <c r="O515">
        <v>0</v>
      </c>
      <c r="Q515">
        <v>71.2</v>
      </c>
    </row>
    <row r="516" spans="1:17">
      <c r="A516" t="s">
        <v>562</v>
      </c>
      <c r="B516" s="8">
        <v>45726</v>
      </c>
      <c r="C516" t="s">
        <v>1</v>
      </c>
      <c r="D516" t="s">
        <v>34</v>
      </c>
      <c r="E516" t="s">
        <v>40</v>
      </c>
      <c r="F516" t="s">
        <v>45</v>
      </c>
      <c r="G516" t="s">
        <v>42</v>
      </c>
      <c r="H516">
        <v>1</v>
      </c>
      <c r="I516">
        <v>1</v>
      </c>
      <c r="J516">
        <v>1</v>
      </c>
      <c r="K516">
        <v>0</v>
      </c>
      <c r="L516">
        <v>0</v>
      </c>
      <c r="M516">
        <v>1</v>
      </c>
      <c r="N516">
        <v>1</v>
      </c>
      <c r="O516">
        <v>0</v>
      </c>
      <c r="Q516">
        <v>38.299999999999997</v>
      </c>
    </row>
    <row r="517" spans="1:17">
      <c r="A517" t="s">
        <v>563</v>
      </c>
      <c r="B517" s="8">
        <v>45748</v>
      </c>
      <c r="C517" t="s">
        <v>1</v>
      </c>
      <c r="D517" t="s">
        <v>34</v>
      </c>
      <c r="E517" t="s">
        <v>40</v>
      </c>
      <c r="F517" t="s">
        <v>41</v>
      </c>
      <c r="G517" t="s">
        <v>42</v>
      </c>
      <c r="H517">
        <v>1</v>
      </c>
      <c r="I517">
        <v>1</v>
      </c>
      <c r="J517">
        <v>0</v>
      </c>
      <c r="K517">
        <v>0</v>
      </c>
      <c r="L517">
        <v>0</v>
      </c>
      <c r="M517">
        <v>0</v>
      </c>
      <c r="N517">
        <v>0</v>
      </c>
      <c r="O517">
        <v>0</v>
      </c>
      <c r="Q517">
        <v>63.1</v>
      </c>
    </row>
    <row r="518" spans="1:17">
      <c r="A518" t="s">
        <v>564</v>
      </c>
      <c r="B518" s="8">
        <v>45792</v>
      </c>
      <c r="C518" t="s">
        <v>1</v>
      </c>
      <c r="D518" t="s">
        <v>44</v>
      </c>
      <c r="E518" t="s">
        <v>40</v>
      </c>
      <c r="F518" t="s">
        <v>55</v>
      </c>
      <c r="G518" t="s">
        <v>37</v>
      </c>
      <c r="H518">
        <v>1</v>
      </c>
      <c r="I518">
        <v>0</v>
      </c>
      <c r="J518">
        <v>0</v>
      </c>
      <c r="K518">
        <v>0</v>
      </c>
      <c r="L518">
        <v>0</v>
      </c>
      <c r="M518">
        <v>0</v>
      </c>
      <c r="N518">
        <v>0</v>
      </c>
      <c r="O518">
        <v>0</v>
      </c>
      <c r="Q518">
        <v>59.7</v>
      </c>
    </row>
    <row r="519" spans="1:17">
      <c r="A519" t="s">
        <v>565</v>
      </c>
      <c r="B519" s="8">
        <v>45781</v>
      </c>
      <c r="C519" t="s">
        <v>1</v>
      </c>
      <c r="D519" t="s">
        <v>48</v>
      </c>
      <c r="E519" t="s">
        <v>35</v>
      </c>
      <c r="F519" t="s">
        <v>57</v>
      </c>
      <c r="G519" t="s">
        <v>46</v>
      </c>
      <c r="H519">
        <v>1</v>
      </c>
      <c r="I519">
        <v>1</v>
      </c>
      <c r="J519">
        <v>1</v>
      </c>
      <c r="K519">
        <v>0</v>
      </c>
      <c r="L519">
        <v>0</v>
      </c>
      <c r="M519">
        <v>0</v>
      </c>
      <c r="N519">
        <v>0</v>
      </c>
      <c r="O519">
        <v>0</v>
      </c>
      <c r="Q519">
        <v>59.5</v>
      </c>
    </row>
    <row r="520" spans="1:17">
      <c r="A520" t="s">
        <v>566</v>
      </c>
      <c r="B520" s="8">
        <v>45797</v>
      </c>
      <c r="C520" t="s">
        <v>1</v>
      </c>
      <c r="D520" t="s">
        <v>44</v>
      </c>
      <c r="E520" t="s">
        <v>40</v>
      </c>
      <c r="F520" t="s">
        <v>45</v>
      </c>
      <c r="G520" t="s">
        <v>42</v>
      </c>
      <c r="H520">
        <v>0</v>
      </c>
      <c r="I520">
        <v>0</v>
      </c>
      <c r="J520">
        <v>0</v>
      </c>
      <c r="K520">
        <v>0</v>
      </c>
      <c r="L520">
        <v>0</v>
      </c>
      <c r="M520">
        <v>0</v>
      </c>
      <c r="N520">
        <v>0</v>
      </c>
      <c r="O520">
        <v>0</v>
      </c>
      <c r="Q520">
        <v>78.8</v>
      </c>
    </row>
    <row r="521" spans="1:17">
      <c r="A521" t="s">
        <v>567</v>
      </c>
      <c r="B521" s="8">
        <v>45793</v>
      </c>
      <c r="C521" t="s">
        <v>1</v>
      </c>
      <c r="D521" t="s">
        <v>39</v>
      </c>
      <c r="E521" t="s">
        <v>35</v>
      </c>
      <c r="F521" t="s">
        <v>55</v>
      </c>
      <c r="G521" t="s">
        <v>42</v>
      </c>
      <c r="H521">
        <v>0</v>
      </c>
      <c r="I521">
        <v>0</v>
      </c>
      <c r="J521">
        <v>0</v>
      </c>
      <c r="K521">
        <v>0</v>
      </c>
      <c r="L521">
        <v>0</v>
      </c>
      <c r="M521">
        <v>0</v>
      </c>
      <c r="N521">
        <v>0</v>
      </c>
      <c r="O521">
        <v>0</v>
      </c>
      <c r="Q521">
        <v>54</v>
      </c>
    </row>
    <row r="522" spans="1:17">
      <c r="A522" t="s">
        <v>568</v>
      </c>
      <c r="B522" s="8">
        <v>45733</v>
      </c>
      <c r="C522" t="s">
        <v>1</v>
      </c>
      <c r="D522" t="s">
        <v>39</v>
      </c>
      <c r="E522" t="s">
        <v>40</v>
      </c>
      <c r="F522" t="s">
        <v>41</v>
      </c>
      <c r="G522" t="s">
        <v>42</v>
      </c>
      <c r="H522">
        <v>1</v>
      </c>
      <c r="I522">
        <v>0</v>
      </c>
      <c r="J522">
        <v>0</v>
      </c>
      <c r="K522">
        <v>0</v>
      </c>
      <c r="L522">
        <v>0</v>
      </c>
      <c r="M522">
        <v>0</v>
      </c>
      <c r="N522">
        <v>0</v>
      </c>
      <c r="O522">
        <v>0</v>
      </c>
      <c r="Q522">
        <v>66.3</v>
      </c>
    </row>
    <row r="523" spans="1:17">
      <c r="A523" t="s">
        <v>569</v>
      </c>
      <c r="B523" s="8">
        <v>45684</v>
      </c>
      <c r="C523" t="s">
        <v>1</v>
      </c>
      <c r="D523" t="s">
        <v>44</v>
      </c>
      <c r="E523" t="s">
        <v>50</v>
      </c>
      <c r="F523" t="s">
        <v>45</v>
      </c>
      <c r="G523" t="s">
        <v>42</v>
      </c>
      <c r="H523">
        <v>1</v>
      </c>
      <c r="I523">
        <v>1</v>
      </c>
      <c r="J523">
        <v>0</v>
      </c>
      <c r="K523">
        <v>0</v>
      </c>
      <c r="L523">
        <v>0</v>
      </c>
      <c r="M523">
        <v>0</v>
      </c>
      <c r="N523">
        <v>0</v>
      </c>
      <c r="O523">
        <v>0</v>
      </c>
      <c r="Q523">
        <v>54.7</v>
      </c>
    </row>
    <row r="524" spans="1:17">
      <c r="A524" t="s">
        <v>570</v>
      </c>
      <c r="B524" s="8">
        <v>45760</v>
      </c>
      <c r="C524" t="s">
        <v>1</v>
      </c>
      <c r="D524" t="s">
        <v>48</v>
      </c>
      <c r="E524" t="s">
        <v>40</v>
      </c>
      <c r="F524" t="s">
        <v>41</v>
      </c>
      <c r="G524" t="s">
        <v>37</v>
      </c>
      <c r="H524">
        <v>1</v>
      </c>
      <c r="I524">
        <v>0</v>
      </c>
      <c r="J524">
        <v>0</v>
      </c>
      <c r="K524">
        <v>0</v>
      </c>
      <c r="L524">
        <v>0</v>
      </c>
      <c r="M524">
        <v>0</v>
      </c>
      <c r="N524">
        <v>0</v>
      </c>
      <c r="O524">
        <v>0</v>
      </c>
      <c r="Q524">
        <v>76.7</v>
      </c>
    </row>
    <row r="525" spans="1:17">
      <c r="A525" t="s">
        <v>571</v>
      </c>
      <c r="B525" s="8">
        <v>45780</v>
      </c>
      <c r="C525" t="s">
        <v>1</v>
      </c>
      <c r="D525" t="s">
        <v>48</v>
      </c>
      <c r="E525" t="s">
        <v>35</v>
      </c>
      <c r="F525" t="s">
        <v>36</v>
      </c>
      <c r="G525" t="s">
        <v>37</v>
      </c>
      <c r="H525">
        <v>1</v>
      </c>
      <c r="I525">
        <v>0</v>
      </c>
      <c r="J525">
        <v>0</v>
      </c>
      <c r="K525">
        <v>0</v>
      </c>
      <c r="L525">
        <v>0</v>
      </c>
      <c r="M525">
        <v>2</v>
      </c>
      <c r="N525">
        <v>1</v>
      </c>
      <c r="O525">
        <v>0</v>
      </c>
      <c r="Q525">
        <v>47.4</v>
      </c>
    </row>
    <row r="526" spans="1:17">
      <c r="A526" t="s">
        <v>572</v>
      </c>
      <c r="B526" s="8">
        <v>45746</v>
      </c>
      <c r="C526" t="s">
        <v>1</v>
      </c>
      <c r="D526" t="s">
        <v>34</v>
      </c>
      <c r="E526" t="s">
        <v>40</v>
      </c>
      <c r="F526" t="s">
        <v>41</v>
      </c>
      <c r="G526" t="s">
        <v>42</v>
      </c>
      <c r="H526">
        <v>1</v>
      </c>
      <c r="I526">
        <v>1</v>
      </c>
      <c r="J526">
        <v>1</v>
      </c>
      <c r="K526">
        <v>0</v>
      </c>
      <c r="L526">
        <v>0</v>
      </c>
      <c r="M526">
        <v>0</v>
      </c>
      <c r="N526">
        <v>0</v>
      </c>
      <c r="O526">
        <v>0</v>
      </c>
      <c r="Q526">
        <v>81.7</v>
      </c>
    </row>
    <row r="527" spans="1:17">
      <c r="A527" t="s">
        <v>573</v>
      </c>
      <c r="B527" s="8">
        <v>45658</v>
      </c>
      <c r="C527" t="s">
        <v>1</v>
      </c>
      <c r="D527" t="s">
        <v>39</v>
      </c>
      <c r="E527" t="s">
        <v>40</v>
      </c>
      <c r="F527" t="s">
        <v>45</v>
      </c>
      <c r="G527" t="s">
        <v>37</v>
      </c>
      <c r="H527">
        <v>1</v>
      </c>
      <c r="I527">
        <v>1</v>
      </c>
      <c r="J527">
        <v>1</v>
      </c>
      <c r="K527">
        <v>0</v>
      </c>
      <c r="L527">
        <v>0</v>
      </c>
      <c r="M527">
        <v>0</v>
      </c>
      <c r="N527">
        <v>0</v>
      </c>
      <c r="O527">
        <v>0</v>
      </c>
      <c r="Q527">
        <v>67.5</v>
      </c>
    </row>
    <row r="528" spans="1:17">
      <c r="A528" t="s">
        <v>574</v>
      </c>
      <c r="B528" s="8">
        <v>45694</v>
      </c>
      <c r="C528" t="s">
        <v>1</v>
      </c>
      <c r="D528" t="s">
        <v>39</v>
      </c>
      <c r="E528" t="s">
        <v>40</v>
      </c>
      <c r="F528" t="s">
        <v>45</v>
      </c>
      <c r="G528" t="s">
        <v>37</v>
      </c>
      <c r="H528">
        <v>1</v>
      </c>
      <c r="I528">
        <v>0</v>
      </c>
      <c r="J528">
        <v>0</v>
      </c>
      <c r="K528">
        <v>0</v>
      </c>
      <c r="L528">
        <v>0</v>
      </c>
      <c r="M528">
        <v>0</v>
      </c>
      <c r="N528">
        <v>0</v>
      </c>
      <c r="O528">
        <v>0</v>
      </c>
      <c r="Q528">
        <v>36.799999999999997</v>
      </c>
    </row>
    <row r="529" spans="1:17">
      <c r="A529" t="s">
        <v>575</v>
      </c>
      <c r="B529" s="8">
        <v>45713</v>
      </c>
      <c r="C529" t="s">
        <v>1</v>
      </c>
      <c r="D529" t="s">
        <v>34</v>
      </c>
      <c r="E529" t="s">
        <v>35</v>
      </c>
      <c r="F529" t="s">
        <v>41</v>
      </c>
      <c r="G529" t="s">
        <v>42</v>
      </c>
      <c r="H529">
        <v>0</v>
      </c>
      <c r="I529">
        <v>0</v>
      </c>
      <c r="J529">
        <v>0</v>
      </c>
      <c r="K529">
        <v>0</v>
      </c>
      <c r="L529">
        <v>0</v>
      </c>
      <c r="M529">
        <v>0</v>
      </c>
      <c r="N529">
        <v>0</v>
      </c>
      <c r="O529">
        <v>0</v>
      </c>
      <c r="Q529">
        <v>66.5</v>
      </c>
    </row>
    <row r="530" spans="1:17">
      <c r="A530" t="s">
        <v>576</v>
      </c>
      <c r="B530" s="8">
        <v>45791</v>
      </c>
      <c r="C530" t="s">
        <v>1</v>
      </c>
      <c r="D530" t="s">
        <v>44</v>
      </c>
      <c r="E530" t="s">
        <v>50</v>
      </c>
      <c r="F530" t="s">
        <v>57</v>
      </c>
      <c r="G530" t="s">
        <v>42</v>
      </c>
      <c r="H530">
        <v>1</v>
      </c>
      <c r="I530">
        <v>0</v>
      </c>
      <c r="J530">
        <v>0</v>
      </c>
      <c r="K530">
        <v>0</v>
      </c>
      <c r="L530">
        <v>0</v>
      </c>
      <c r="M530">
        <v>0</v>
      </c>
      <c r="N530">
        <v>0</v>
      </c>
      <c r="O530">
        <v>0</v>
      </c>
      <c r="Q530">
        <v>35.4</v>
      </c>
    </row>
    <row r="531" spans="1:17">
      <c r="A531" t="s">
        <v>577</v>
      </c>
      <c r="B531" s="8">
        <v>45797</v>
      </c>
      <c r="C531" t="s">
        <v>1</v>
      </c>
      <c r="D531" t="s">
        <v>48</v>
      </c>
      <c r="E531" t="s">
        <v>40</v>
      </c>
      <c r="F531" t="s">
        <v>41</v>
      </c>
      <c r="G531" t="s">
        <v>37</v>
      </c>
      <c r="H531">
        <v>0</v>
      </c>
      <c r="I531">
        <v>0</v>
      </c>
      <c r="J531">
        <v>0</v>
      </c>
      <c r="K531">
        <v>0</v>
      </c>
      <c r="L531">
        <v>0</v>
      </c>
      <c r="M531">
        <v>0</v>
      </c>
      <c r="N531">
        <v>0</v>
      </c>
      <c r="O531">
        <v>0</v>
      </c>
      <c r="Q531">
        <v>64.3</v>
      </c>
    </row>
    <row r="532" spans="1:17">
      <c r="A532" t="s">
        <v>578</v>
      </c>
      <c r="B532" s="8">
        <v>45699</v>
      </c>
      <c r="C532" t="s">
        <v>1</v>
      </c>
      <c r="D532" t="s">
        <v>48</v>
      </c>
      <c r="E532" t="s">
        <v>40</v>
      </c>
      <c r="F532" t="s">
        <v>41</v>
      </c>
      <c r="G532" t="s">
        <v>42</v>
      </c>
      <c r="H532">
        <v>0</v>
      </c>
      <c r="I532">
        <v>0</v>
      </c>
      <c r="J532">
        <v>0</v>
      </c>
      <c r="K532">
        <v>0</v>
      </c>
      <c r="L532">
        <v>0</v>
      </c>
      <c r="M532">
        <v>0</v>
      </c>
      <c r="N532">
        <v>0</v>
      </c>
      <c r="O532">
        <v>0</v>
      </c>
      <c r="Q532">
        <v>49.1</v>
      </c>
    </row>
    <row r="533" spans="1:17">
      <c r="A533" t="s">
        <v>579</v>
      </c>
      <c r="B533" s="8">
        <v>45701</v>
      </c>
      <c r="C533" t="s">
        <v>1</v>
      </c>
      <c r="D533" t="s">
        <v>39</v>
      </c>
      <c r="E533" t="s">
        <v>40</v>
      </c>
      <c r="F533" t="s">
        <v>41</v>
      </c>
      <c r="G533" t="s">
        <v>42</v>
      </c>
      <c r="H533">
        <v>1</v>
      </c>
      <c r="I533">
        <v>0</v>
      </c>
      <c r="J533">
        <v>0</v>
      </c>
      <c r="K533">
        <v>0</v>
      </c>
      <c r="L533">
        <v>0</v>
      </c>
      <c r="M533">
        <v>0</v>
      </c>
      <c r="N533">
        <v>0</v>
      </c>
      <c r="O533">
        <v>0</v>
      </c>
      <c r="Q533">
        <v>84.3</v>
      </c>
    </row>
    <row r="534" spans="1:17">
      <c r="A534" t="s">
        <v>580</v>
      </c>
      <c r="B534" s="8">
        <v>45754</v>
      </c>
      <c r="C534" t="s">
        <v>1</v>
      </c>
      <c r="D534" t="s">
        <v>48</v>
      </c>
      <c r="E534" t="s">
        <v>40</v>
      </c>
      <c r="F534" t="s">
        <v>45</v>
      </c>
      <c r="G534" t="s">
        <v>46</v>
      </c>
      <c r="H534">
        <v>1</v>
      </c>
      <c r="I534">
        <v>0</v>
      </c>
      <c r="J534">
        <v>0</v>
      </c>
      <c r="K534">
        <v>0</v>
      </c>
      <c r="L534">
        <v>0</v>
      </c>
      <c r="M534">
        <v>0</v>
      </c>
      <c r="N534">
        <v>0</v>
      </c>
      <c r="O534">
        <v>0</v>
      </c>
      <c r="Q534">
        <v>65.599999999999994</v>
      </c>
    </row>
    <row r="535" spans="1:17">
      <c r="A535" t="s">
        <v>581</v>
      </c>
      <c r="B535" s="8">
        <v>45724</v>
      </c>
      <c r="C535" t="s">
        <v>1</v>
      </c>
      <c r="D535" t="s">
        <v>44</v>
      </c>
      <c r="E535" t="s">
        <v>40</v>
      </c>
      <c r="F535" t="s">
        <v>36</v>
      </c>
      <c r="G535" t="s">
        <v>42</v>
      </c>
      <c r="H535">
        <v>1</v>
      </c>
      <c r="I535">
        <v>0</v>
      </c>
      <c r="J535">
        <v>0</v>
      </c>
      <c r="K535">
        <v>0</v>
      </c>
      <c r="L535">
        <v>0</v>
      </c>
      <c r="M535">
        <v>0</v>
      </c>
      <c r="N535">
        <v>0</v>
      </c>
      <c r="O535">
        <v>0</v>
      </c>
      <c r="Q535">
        <v>47.1</v>
      </c>
    </row>
    <row r="536" spans="1:17">
      <c r="A536" t="s">
        <v>582</v>
      </c>
      <c r="B536" s="8">
        <v>45704</v>
      </c>
      <c r="C536" t="s">
        <v>1</v>
      </c>
      <c r="D536" t="s">
        <v>34</v>
      </c>
      <c r="E536" t="s">
        <v>35</v>
      </c>
      <c r="F536" t="s">
        <v>45</v>
      </c>
      <c r="G536" t="s">
        <v>42</v>
      </c>
      <c r="H536">
        <v>1</v>
      </c>
      <c r="I536">
        <v>1</v>
      </c>
      <c r="J536">
        <v>1</v>
      </c>
      <c r="K536">
        <v>0</v>
      </c>
      <c r="L536">
        <v>0</v>
      </c>
      <c r="M536">
        <v>0</v>
      </c>
      <c r="N536">
        <v>0</v>
      </c>
      <c r="O536">
        <v>0</v>
      </c>
      <c r="Q536">
        <v>70</v>
      </c>
    </row>
    <row r="537" spans="1:17">
      <c r="A537" t="s">
        <v>583</v>
      </c>
      <c r="B537" s="8">
        <v>45775</v>
      </c>
      <c r="C537" t="s">
        <v>1</v>
      </c>
      <c r="D537" t="s">
        <v>48</v>
      </c>
      <c r="E537" t="s">
        <v>40</v>
      </c>
      <c r="F537" t="s">
        <v>45</v>
      </c>
      <c r="G537" t="s">
        <v>46</v>
      </c>
      <c r="H537">
        <v>1</v>
      </c>
      <c r="I537">
        <v>0</v>
      </c>
      <c r="J537">
        <v>0</v>
      </c>
      <c r="K537">
        <v>0</v>
      </c>
      <c r="L537">
        <v>0</v>
      </c>
      <c r="M537">
        <v>0</v>
      </c>
      <c r="N537">
        <v>0</v>
      </c>
      <c r="O537">
        <v>0</v>
      </c>
      <c r="Q537">
        <v>54.6</v>
      </c>
    </row>
    <row r="538" spans="1:17">
      <c r="A538" t="s">
        <v>584</v>
      </c>
      <c r="B538" s="8">
        <v>45726</v>
      </c>
      <c r="C538" t="s">
        <v>1</v>
      </c>
      <c r="D538" t="s">
        <v>39</v>
      </c>
      <c r="E538" t="s">
        <v>50</v>
      </c>
      <c r="F538" t="s">
        <v>57</v>
      </c>
      <c r="G538" t="s">
        <v>37</v>
      </c>
      <c r="H538">
        <v>1</v>
      </c>
      <c r="I538">
        <v>1</v>
      </c>
      <c r="J538">
        <v>0</v>
      </c>
      <c r="K538">
        <v>0</v>
      </c>
      <c r="L538">
        <v>0</v>
      </c>
      <c r="M538">
        <v>1</v>
      </c>
      <c r="N538">
        <v>1</v>
      </c>
      <c r="O538">
        <v>0</v>
      </c>
      <c r="Q538">
        <v>65.2</v>
      </c>
    </row>
    <row r="539" spans="1:17">
      <c r="A539" t="s">
        <v>585</v>
      </c>
      <c r="B539" s="8">
        <v>45682</v>
      </c>
      <c r="C539" t="s">
        <v>1</v>
      </c>
      <c r="D539" t="s">
        <v>44</v>
      </c>
      <c r="E539" t="s">
        <v>40</v>
      </c>
      <c r="F539" t="s">
        <v>57</v>
      </c>
      <c r="G539" t="s">
        <v>42</v>
      </c>
      <c r="H539">
        <v>1</v>
      </c>
      <c r="I539">
        <v>0</v>
      </c>
      <c r="J539">
        <v>0</v>
      </c>
      <c r="K539">
        <v>0</v>
      </c>
      <c r="L539">
        <v>0</v>
      </c>
      <c r="M539">
        <v>0</v>
      </c>
      <c r="N539">
        <v>0</v>
      </c>
      <c r="O539">
        <v>0</v>
      </c>
      <c r="Q539">
        <v>65</v>
      </c>
    </row>
    <row r="540" spans="1:17">
      <c r="A540" t="s">
        <v>586</v>
      </c>
      <c r="B540" s="8">
        <v>45668</v>
      </c>
      <c r="C540" t="s">
        <v>1</v>
      </c>
      <c r="D540" t="s">
        <v>39</v>
      </c>
      <c r="E540" t="s">
        <v>40</v>
      </c>
      <c r="F540" t="s">
        <v>45</v>
      </c>
      <c r="G540" t="s">
        <v>46</v>
      </c>
      <c r="H540">
        <v>1</v>
      </c>
      <c r="I540">
        <v>1</v>
      </c>
      <c r="J540">
        <v>1</v>
      </c>
      <c r="K540">
        <v>0</v>
      </c>
      <c r="L540">
        <v>0</v>
      </c>
      <c r="M540">
        <v>1</v>
      </c>
      <c r="N540">
        <v>1</v>
      </c>
      <c r="O540">
        <v>0</v>
      </c>
      <c r="Q540">
        <v>42.1</v>
      </c>
    </row>
    <row r="541" spans="1:17">
      <c r="A541" t="s">
        <v>587</v>
      </c>
      <c r="B541" s="8">
        <v>45747</v>
      </c>
      <c r="C541" t="s">
        <v>1</v>
      </c>
      <c r="D541" t="s">
        <v>39</v>
      </c>
      <c r="E541" t="s">
        <v>50</v>
      </c>
      <c r="F541" t="s">
        <v>45</v>
      </c>
      <c r="G541" t="s">
        <v>42</v>
      </c>
      <c r="H541">
        <v>1</v>
      </c>
      <c r="I541">
        <v>0</v>
      </c>
      <c r="J541">
        <v>0</v>
      </c>
      <c r="K541">
        <v>0</v>
      </c>
      <c r="L541">
        <v>0</v>
      </c>
      <c r="M541">
        <v>0</v>
      </c>
      <c r="N541">
        <v>0</v>
      </c>
      <c r="O541">
        <v>0</v>
      </c>
      <c r="Q541">
        <v>43.4</v>
      </c>
    </row>
    <row r="542" spans="1:17">
      <c r="A542" t="s">
        <v>588</v>
      </c>
      <c r="B542" s="8">
        <v>45799</v>
      </c>
      <c r="C542" t="s">
        <v>1</v>
      </c>
      <c r="D542" t="s">
        <v>34</v>
      </c>
      <c r="E542" t="s">
        <v>40</v>
      </c>
      <c r="F542" t="s">
        <v>45</v>
      </c>
      <c r="G542" t="s">
        <v>37</v>
      </c>
      <c r="H542">
        <v>1</v>
      </c>
      <c r="I542">
        <v>1</v>
      </c>
      <c r="J542">
        <v>0</v>
      </c>
      <c r="K542">
        <v>0</v>
      </c>
      <c r="L542">
        <v>0</v>
      </c>
      <c r="M542">
        <v>0</v>
      </c>
      <c r="N542">
        <v>0</v>
      </c>
      <c r="O542">
        <v>0</v>
      </c>
      <c r="Q542">
        <v>39.9</v>
      </c>
    </row>
    <row r="543" spans="1:17">
      <c r="A543" t="s">
        <v>589</v>
      </c>
      <c r="B543" s="8">
        <v>45793</v>
      </c>
      <c r="C543" t="s">
        <v>1</v>
      </c>
      <c r="D543" t="s">
        <v>34</v>
      </c>
      <c r="E543" t="s">
        <v>40</v>
      </c>
      <c r="F543" t="s">
        <v>55</v>
      </c>
      <c r="G543" t="s">
        <v>37</v>
      </c>
      <c r="H543">
        <v>0</v>
      </c>
      <c r="I543">
        <v>0</v>
      </c>
      <c r="J543">
        <v>0</v>
      </c>
      <c r="K543">
        <v>0</v>
      </c>
      <c r="L543">
        <v>0</v>
      </c>
      <c r="M543">
        <v>0</v>
      </c>
      <c r="N543">
        <v>0</v>
      </c>
      <c r="O543">
        <v>0</v>
      </c>
      <c r="Q543">
        <v>74.099999999999994</v>
      </c>
    </row>
    <row r="544" spans="1:17">
      <c r="A544" t="s">
        <v>590</v>
      </c>
      <c r="B544" s="8">
        <v>45772</v>
      </c>
      <c r="C544" t="s">
        <v>1</v>
      </c>
      <c r="D544" t="s">
        <v>44</v>
      </c>
      <c r="E544" t="s">
        <v>35</v>
      </c>
      <c r="F544" t="s">
        <v>45</v>
      </c>
      <c r="G544" t="s">
        <v>42</v>
      </c>
      <c r="H544">
        <v>1</v>
      </c>
      <c r="I544">
        <v>0</v>
      </c>
      <c r="J544">
        <v>0</v>
      </c>
      <c r="K544">
        <v>0</v>
      </c>
      <c r="L544">
        <v>0</v>
      </c>
      <c r="M544">
        <v>0</v>
      </c>
      <c r="N544">
        <v>0</v>
      </c>
      <c r="O544">
        <v>0</v>
      </c>
      <c r="Q544">
        <v>61.4</v>
      </c>
    </row>
    <row r="545" spans="1:17">
      <c r="A545" t="s">
        <v>591</v>
      </c>
      <c r="B545" s="8">
        <v>45764</v>
      </c>
      <c r="C545" t="s">
        <v>1</v>
      </c>
      <c r="D545" t="s">
        <v>44</v>
      </c>
      <c r="E545" t="s">
        <v>40</v>
      </c>
      <c r="F545" t="s">
        <v>57</v>
      </c>
      <c r="G545" t="s">
        <v>46</v>
      </c>
      <c r="H545">
        <v>1</v>
      </c>
      <c r="I545">
        <v>1</v>
      </c>
      <c r="J545">
        <v>1</v>
      </c>
      <c r="K545">
        <v>0</v>
      </c>
      <c r="L545">
        <v>0</v>
      </c>
      <c r="M545">
        <v>0</v>
      </c>
      <c r="N545">
        <v>0</v>
      </c>
      <c r="O545">
        <v>0</v>
      </c>
      <c r="Q545">
        <v>76.8</v>
      </c>
    </row>
    <row r="546" spans="1:17">
      <c r="A546" t="s">
        <v>592</v>
      </c>
      <c r="B546" s="8">
        <v>45658</v>
      </c>
      <c r="C546" t="s">
        <v>1</v>
      </c>
      <c r="D546" t="s">
        <v>48</v>
      </c>
      <c r="E546" t="s">
        <v>35</v>
      </c>
      <c r="F546" t="s">
        <v>57</v>
      </c>
      <c r="G546" t="s">
        <v>37</v>
      </c>
      <c r="H546">
        <v>0</v>
      </c>
      <c r="I546">
        <v>0</v>
      </c>
      <c r="J546">
        <v>0</v>
      </c>
      <c r="K546">
        <v>0</v>
      </c>
      <c r="L546">
        <v>0</v>
      </c>
      <c r="M546">
        <v>0</v>
      </c>
      <c r="N546">
        <v>0</v>
      </c>
      <c r="O546">
        <v>0</v>
      </c>
    </row>
    <row r="547" spans="1:17">
      <c r="A547" t="s">
        <v>593</v>
      </c>
      <c r="B547" s="8">
        <v>45734</v>
      </c>
      <c r="C547" t="s">
        <v>1</v>
      </c>
      <c r="D547" t="s">
        <v>44</v>
      </c>
      <c r="E547" t="s">
        <v>40</v>
      </c>
      <c r="F547" t="s">
        <v>45</v>
      </c>
      <c r="G547" t="s">
        <v>37</v>
      </c>
      <c r="H547">
        <v>1</v>
      </c>
      <c r="I547">
        <v>1</v>
      </c>
      <c r="J547">
        <v>1</v>
      </c>
      <c r="K547">
        <v>0</v>
      </c>
      <c r="L547">
        <v>0</v>
      </c>
      <c r="M547">
        <v>0</v>
      </c>
      <c r="N547">
        <v>0</v>
      </c>
      <c r="O547">
        <v>0</v>
      </c>
      <c r="Q547">
        <v>45.3</v>
      </c>
    </row>
    <row r="548" spans="1:17">
      <c r="A548" t="s">
        <v>594</v>
      </c>
      <c r="B548" s="8">
        <v>45797</v>
      </c>
      <c r="C548" t="s">
        <v>1</v>
      </c>
      <c r="D548" t="s">
        <v>34</v>
      </c>
      <c r="E548" t="s">
        <v>50</v>
      </c>
      <c r="F548" t="s">
        <v>45</v>
      </c>
      <c r="G548" t="s">
        <v>42</v>
      </c>
      <c r="H548">
        <v>1</v>
      </c>
      <c r="I548">
        <v>0</v>
      </c>
      <c r="J548">
        <v>0</v>
      </c>
      <c r="K548">
        <v>0</v>
      </c>
      <c r="L548">
        <v>0</v>
      </c>
      <c r="M548">
        <v>0</v>
      </c>
      <c r="N548">
        <v>0</v>
      </c>
      <c r="O548">
        <v>0</v>
      </c>
      <c r="Q548">
        <v>41.4</v>
      </c>
    </row>
    <row r="549" spans="1:17">
      <c r="A549" t="s">
        <v>595</v>
      </c>
      <c r="B549" s="8">
        <v>45732</v>
      </c>
      <c r="C549" t="s">
        <v>1</v>
      </c>
      <c r="D549" t="s">
        <v>34</v>
      </c>
      <c r="E549" t="s">
        <v>40</v>
      </c>
      <c r="F549" t="s">
        <v>41</v>
      </c>
      <c r="G549" t="s">
        <v>37</v>
      </c>
      <c r="H549">
        <v>1</v>
      </c>
      <c r="I549">
        <v>0</v>
      </c>
      <c r="J549">
        <v>0</v>
      </c>
      <c r="K549">
        <v>0</v>
      </c>
      <c r="L549">
        <v>0</v>
      </c>
      <c r="M549">
        <v>0</v>
      </c>
      <c r="N549">
        <v>0</v>
      </c>
      <c r="O549">
        <v>0</v>
      </c>
      <c r="Q549">
        <v>37.1</v>
      </c>
    </row>
    <row r="550" spans="1:17">
      <c r="A550" t="s">
        <v>596</v>
      </c>
      <c r="B550" s="8">
        <v>45807</v>
      </c>
      <c r="C550" t="s">
        <v>1</v>
      </c>
      <c r="D550" t="s">
        <v>44</v>
      </c>
      <c r="E550" t="s">
        <v>35</v>
      </c>
      <c r="F550" t="s">
        <v>57</v>
      </c>
      <c r="G550" t="s">
        <v>42</v>
      </c>
      <c r="H550">
        <v>1</v>
      </c>
      <c r="I550">
        <v>0</v>
      </c>
      <c r="J550">
        <v>0</v>
      </c>
      <c r="K550">
        <v>0</v>
      </c>
      <c r="L550">
        <v>0</v>
      </c>
      <c r="M550">
        <v>0</v>
      </c>
      <c r="N550">
        <v>0</v>
      </c>
      <c r="O550">
        <v>0</v>
      </c>
      <c r="Q550">
        <v>40.700000000000003</v>
      </c>
    </row>
    <row r="551" spans="1:17">
      <c r="A551" t="s">
        <v>597</v>
      </c>
      <c r="B551" s="8">
        <v>45708</v>
      </c>
      <c r="C551" t="s">
        <v>1</v>
      </c>
      <c r="D551" t="s">
        <v>34</v>
      </c>
      <c r="E551" t="s">
        <v>40</v>
      </c>
      <c r="F551" t="s">
        <v>57</v>
      </c>
      <c r="G551" t="s">
        <v>46</v>
      </c>
      <c r="H551">
        <v>0</v>
      </c>
      <c r="I551">
        <v>0</v>
      </c>
      <c r="J551">
        <v>0</v>
      </c>
      <c r="K551">
        <v>0</v>
      </c>
      <c r="L551">
        <v>0</v>
      </c>
      <c r="M551">
        <v>2</v>
      </c>
      <c r="N551">
        <v>1</v>
      </c>
      <c r="O551">
        <v>0</v>
      </c>
      <c r="Q551">
        <v>55.9</v>
      </c>
    </row>
    <row r="552" spans="1:17">
      <c r="A552" t="s">
        <v>598</v>
      </c>
      <c r="B552" s="8">
        <v>45699</v>
      </c>
      <c r="C552" t="s">
        <v>1</v>
      </c>
      <c r="D552" t="s">
        <v>44</v>
      </c>
      <c r="F552" t="s">
        <v>57</v>
      </c>
      <c r="G552" t="s">
        <v>42</v>
      </c>
      <c r="H552">
        <v>1</v>
      </c>
      <c r="I552">
        <v>1</v>
      </c>
      <c r="J552">
        <v>0</v>
      </c>
      <c r="K552">
        <v>0</v>
      </c>
      <c r="L552">
        <v>0</v>
      </c>
      <c r="M552">
        <v>0</v>
      </c>
      <c r="N552">
        <v>0</v>
      </c>
      <c r="O552">
        <v>0</v>
      </c>
      <c r="Q552">
        <v>55.8</v>
      </c>
    </row>
    <row r="553" spans="1:17">
      <c r="A553" t="s">
        <v>599</v>
      </c>
      <c r="B553" s="8">
        <v>45659</v>
      </c>
      <c r="C553" t="s">
        <v>1</v>
      </c>
      <c r="D553" t="s">
        <v>48</v>
      </c>
      <c r="E553" t="s">
        <v>50</v>
      </c>
      <c r="F553" t="s">
        <v>55</v>
      </c>
      <c r="G553" t="s">
        <v>37</v>
      </c>
      <c r="H553">
        <v>1</v>
      </c>
      <c r="I553">
        <v>0</v>
      </c>
      <c r="J553">
        <v>0</v>
      </c>
      <c r="K553">
        <v>0</v>
      </c>
      <c r="L553">
        <v>0</v>
      </c>
      <c r="M553">
        <v>0</v>
      </c>
      <c r="N553">
        <v>0</v>
      </c>
      <c r="O553">
        <v>0</v>
      </c>
      <c r="Q553">
        <v>64.3</v>
      </c>
    </row>
    <row r="554" spans="1:17">
      <c r="A554" t="s">
        <v>600</v>
      </c>
      <c r="B554" s="8">
        <v>45780</v>
      </c>
      <c r="C554" t="s">
        <v>1</v>
      </c>
      <c r="D554" t="s">
        <v>34</v>
      </c>
      <c r="E554" t="s">
        <v>40</v>
      </c>
      <c r="F554" t="s">
        <v>41</v>
      </c>
      <c r="G554" t="s">
        <v>42</v>
      </c>
      <c r="H554">
        <v>0</v>
      </c>
      <c r="I554">
        <v>0</v>
      </c>
      <c r="J554">
        <v>0</v>
      </c>
      <c r="K554">
        <v>0</v>
      </c>
      <c r="L554">
        <v>0</v>
      </c>
      <c r="M554">
        <v>0</v>
      </c>
      <c r="N554">
        <v>0</v>
      </c>
      <c r="O554">
        <v>0</v>
      </c>
      <c r="Q554">
        <v>65.400000000000006</v>
      </c>
    </row>
    <row r="555" spans="1:17">
      <c r="A555" t="s">
        <v>601</v>
      </c>
      <c r="B555" s="8">
        <v>45712</v>
      </c>
      <c r="C555" t="s">
        <v>1</v>
      </c>
      <c r="D555" t="s">
        <v>39</v>
      </c>
      <c r="E555" t="s">
        <v>40</v>
      </c>
      <c r="F555" t="s">
        <v>41</v>
      </c>
      <c r="G555" t="s">
        <v>42</v>
      </c>
      <c r="H555">
        <v>1</v>
      </c>
      <c r="I555">
        <v>0</v>
      </c>
      <c r="J555">
        <v>0</v>
      </c>
      <c r="K555">
        <v>0</v>
      </c>
      <c r="L555">
        <v>0</v>
      </c>
      <c r="M555">
        <v>0</v>
      </c>
      <c r="N555">
        <v>0</v>
      </c>
      <c r="O555">
        <v>0</v>
      </c>
      <c r="Q555">
        <v>89.8</v>
      </c>
    </row>
    <row r="556" spans="1:17">
      <c r="A556" t="s">
        <v>602</v>
      </c>
      <c r="B556" s="8">
        <v>45699</v>
      </c>
      <c r="C556" t="s">
        <v>1</v>
      </c>
      <c r="D556" t="s">
        <v>48</v>
      </c>
      <c r="F556" t="s">
        <v>41</v>
      </c>
      <c r="G556" t="s">
        <v>42</v>
      </c>
      <c r="H556">
        <v>1</v>
      </c>
      <c r="I556">
        <v>1</v>
      </c>
      <c r="J556">
        <v>1</v>
      </c>
      <c r="K556">
        <v>0</v>
      </c>
      <c r="L556">
        <v>0</v>
      </c>
      <c r="M556">
        <v>0</v>
      </c>
      <c r="N556">
        <v>0</v>
      </c>
      <c r="O556">
        <v>0</v>
      </c>
      <c r="Q556">
        <v>58.3</v>
      </c>
    </row>
    <row r="557" spans="1:17">
      <c r="A557" t="s">
        <v>603</v>
      </c>
      <c r="B557" s="8">
        <v>45783</v>
      </c>
      <c r="C557" t="s">
        <v>1</v>
      </c>
      <c r="D557" t="s">
        <v>48</v>
      </c>
      <c r="E557" t="s">
        <v>40</v>
      </c>
      <c r="F557" t="s">
        <v>57</v>
      </c>
      <c r="G557" t="s">
        <v>37</v>
      </c>
      <c r="H557">
        <v>1</v>
      </c>
      <c r="I557">
        <v>0</v>
      </c>
      <c r="J557">
        <v>0</v>
      </c>
      <c r="K557">
        <v>0</v>
      </c>
      <c r="L557">
        <v>0</v>
      </c>
      <c r="M557">
        <v>0</v>
      </c>
      <c r="N557">
        <v>0</v>
      </c>
      <c r="O557">
        <v>0</v>
      </c>
      <c r="Q557">
        <v>64.400000000000006</v>
      </c>
    </row>
    <row r="558" spans="1:17">
      <c r="A558" t="s">
        <v>604</v>
      </c>
      <c r="B558" s="8">
        <v>45800</v>
      </c>
      <c r="C558" t="s">
        <v>1</v>
      </c>
      <c r="D558" t="s">
        <v>34</v>
      </c>
      <c r="E558" t="s">
        <v>40</v>
      </c>
      <c r="F558" t="s">
        <v>45</v>
      </c>
      <c r="G558" t="s">
        <v>46</v>
      </c>
      <c r="H558">
        <v>0</v>
      </c>
      <c r="I558">
        <v>0</v>
      </c>
      <c r="J558">
        <v>0</v>
      </c>
      <c r="K558">
        <v>0</v>
      </c>
      <c r="L558">
        <v>0</v>
      </c>
      <c r="M558">
        <v>0</v>
      </c>
      <c r="N558">
        <v>0</v>
      </c>
      <c r="O558">
        <v>0</v>
      </c>
      <c r="Q558">
        <v>46.2</v>
      </c>
    </row>
    <row r="559" spans="1:17">
      <c r="A559" t="s">
        <v>605</v>
      </c>
      <c r="B559" s="8">
        <v>45666</v>
      </c>
      <c r="C559" t="s">
        <v>1</v>
      </c>
      <c r="D559" t="s">
        <v>34</v>
      </c>
      <c r="E559" t="s">
        <v>35</v>
      </c>
      <c r="F559" t="s">
        <v>45</v>
      </c>
      <c r="G559" t="s">
        <v>42</v>
      </c>
      <c r="H559">
        <v>0</v>
      </c>
      <c r="I559">
        <v>0</v>
      </c>
      <c r="J559">
        <v>0</v>
      </c>
      <c r="K559">
        <v>0</v>
      </c>
      <c r="L559">
        <v>0</v>
      </c>
      <c r="M559">
        <v>0</v>
      </c>
      <c r="N559">
        <v>0</v>
      </c>
      <c r="O559">
        <v>0</v>
      </c>
      <c r="Q559">
        <v>78</v>
      </c>
    </row>
    <row r="560" spans="1:17">
      <c r="A560" t="s">
        <v>606</v>
      </c>
      <c r="B560" s="8">
        <v>45748</v>
      </c>
      <c r="C560" t="s">
        <v>1</v>
      </c>
      <c r="D560" t="s">
        <v>34</v>
      </c>
      <c r="E560" t="s">
        <v>35</v>
      </c>
      <c r="F560" t="s">
        <v>41</v>
      </c>
      <c r="G560" t="s">
        <v>46</v>
      </c>
      <c r="H560">
        <v>1</v>
      </c>
      <c r="I560">
        <v>0</v>
      </c>
      <c r="J560">
        <v>0</v>
      </c>
      <c r="K560">
        <v>0</v>
      </c>
      <c r="L560">
        <v>0</v>
      </c>
      <c r="M560">
        <v>0</v>
      </c>
      <c r="N560">
        <v>0</v>
      </c>
      <c r="O560">
        <v>0</v>
      </c>
      <c r="Q560">
        <v>62.3</v>
      </c>
    </row>
    <row r="561" spans="1:17">
      <c r="A561" t="s">
        <v>607</v>
      </c>
      <c r="B561" s="8">
        <v>45724</v>
      </c>
      <c r="C561" t="s">
        <v>1</v>
      </c>
      <c r="D561" t="s">
        <v>34</v>
      </c>
      <c r="E561" t="s">
        <v>40</v>
      </c>
      <c r="F561" t="s">
        <v>41</v>
      </c>
      <c r="G561" t="s">
        <v>42</v>
      </c>
      <c r="H561">
        <v>1</v>
      </c>
      <c r="I561">
        <v>0</v>
      </c>
      <c r="J561">
        <v>0</v>
      </c>
      <c r="K561">
        <v>0</v>
      </c>
      <c r="L561">
        <v>0</v>
      </c>
      <c r="M561">
        <v>0</v>
      </c>
      <c r="N561">
        <v>0</v>
      </c>
      <c r="O561">
        <v>0</v>
      </c>
      <c r="Q561">
        <v>78.8</v>
      </c>
    </row>
    <row r="562" spans="1:17">
      <c r="A562" t="s">
        <v>608</v>
      </c>
      <c r="B562" s="8">
        <v>45708</v>
      </c>
      <c r="C562" t="s">
        <v>1</v>
      </c>
      <c r="D562" t="s">
        <v>34</v>
      </c>
      <c r="E562" t="s">
        <v>40</v>
      </c>
      <c r="F562" t="s">
        <v>57</v>
      </c>
      <c r="G562" t="s">
        <v>37</v>
      </c>
      <c r="H562">
        <v>1</v>
      </c>
      <c r="I562">
        <v>0</v>
      </c>
      <c r="J562">
        <v>0</v>
      </c>
      <c r="K562">
        <v>0</v>
      </c>
      <c r="L562">
        <v>0</v>
      </c>
      <c r="M562">
        <v>0</v>
      </c>
      <c r="N562">
        <v>0</v>
      </c>
      <c r="O562">
        <v>0</v>
      </c>
      <c r="Q562">
        <v>25</v>
      </c>
    </row>
    <row r="563" spans="1:17">
      <c r="A563" t="s">
        <v>609</v>
      </c>
      <c r="B563" s="8">
        <v>45746</v>
      </c>
      <c r="C563" t="s">
        <v>1</v>
      </c>
      <c r="D563" t="s">
        <v>44</v>
      </c>
      <c r="E563" t="s">
        <v>40</v>
      </c>
      <c r="F563" t="s">
        <v>57</v>
      </c>
      <c r="G563" t="s">
        <v>37</v>
      </c>
      <c r="H563">
        <v>0</v>
      </c>
      <c r="I563">
        <v>0</v>
      </c>
      <c r="J563">
        <v>0</v>
      </c>
      <c r="K563">
        <v>0</v>
      </c>
      <c r="L563">
        <v>0</v>
      </c>
      <c r="M563">
        <v>0</v>
      </c>
      <c r="N563">
        <v>0</v>
      </c>
      <c r="O563">
        <v>0</v>
      </c>
      <c r="Q563">
        <v>53.4</v>
      </c>
    </row>
    <row r="564" spans="1:17">
      <c r="A564" t="s">
        <v>610</v>
      </c>
      <c r="B564" s="8">
        <v>45757</v>
      </c>
      <c r="C564" t="s">
        <v>1</v>
      </c>
      <c r="D564" t="s">
        <v>44</v>
      </c>
      <c r="E564" t="s">
        <v>35</v>
      </c>
      <c r="F564" t="s">
        <v>41</v>
      </c>
      <c r="G564" t="s">
        <v>37</v>
      </c>
      <c r="H564">
        <v>0</v>
      </c>
      <c r="I564">
        <v>0</v>
      </c>
      <c r="J564">
        <v>0</v>
      </c>
      <c r="K564">
        <v>0</v>
      </c>
      <c r="L564">
        <v>0</v>
      </c>
      <c r="M564">
        <v>0</v>
      </c>
      <c r="N564">
        <v>0</v>
      </c>
      <c r="O564">
        <v>0</v>
      </c>
      <c r="Q564">
        <v>40.700000000000003</v>
      </c>
    </row>
    <row r="565" spans="1:17">
      <c r="A565" t="s">
        <v>611</v>
      </c>
      <c r="B565" s="8">
        <v>45740</v>
      </c>
      <c r="C565" t="s">
        <v>1</v>
      </c>
      <c r="D565" t="s">
        <v>44</v>
      </c>
      <c r="E565" t="s">
        <v>40</v>
      </c>
      <c r="F565" t="s">
        <v>41</v>
      </c>
      <c r="G565" t="s">
        <v>46</v>
      </c>
      <c r="H565">
        <v>1</v>
      </c>
      <c r="I565">
        <v>1</v>
      </c>
      <c r="J565">
        <v>0</v>
      </c>
      <c r="K565">
        <v>0</v>
      </c>
      <c r="L565">
        <v>0</v>
      </c>
      <c r="M565">
        <v>0</v>
      </c>
      <c r="N565">
        <v>0</v>
      </c>
      <c r="O565">
        <v>0</v>
      </c>
      <c r="Q565">
        <v>36.700000000000003</v>
      </c>
    </row>
    <row r="566" spans="1:17">
      <c r="A566" t="s">
        <v>612</v>
      </c>
      <c r="B566" s="8">
        <v>45798</v>
      </c>
      <c r="C566" t="s">
        <v>1</v>
      </c>
      <c r="D566" t="s">
        <v>39</v>
      </c>
      <c r="E566" t="s">
        <v>40</v>
      </c>
      <c r="F566" t="s">
        <v>41</v>
      </c>
      <c r="G566" t="s">
        <v>37</v>
      </c>
      <c r="H566">
        <v>1</v>
      </c>
      <c r="I566">
        <v>0</v>
      </c>
      <c r="J566">
        <v>0</v>
      </c>
      <c r="K566">
        <v>0</v>
      </c>
      <c r="L566">
        <v>0</v>
      </c>
      <c r="M566">
        <v>1</v>
      </c>
      <c r="N566">
        <v>1</v>
      </c>
      <c r="O566">
        <v>0</v>
      </c>
      <c r="Q566">
        <v>67.5</v>
      </c>
    </row>
    <row r="567" spans="1:17">
      <c r="A567" t="s">
        <v>613</v>
      </c>
      <c r="B567" s="8">
        <v>45745</v>
      </c>
      <c r="C567" t="s">
        <v>1</v>
      </c>
      <c r="D567" t="s">
        <v>44</v>
      </c>
      <c r="E567" t="s">
        <v>40</v>
      </c>
      <c r="F567" t="s">
        <v>57</v>
      </c>
      <c r="G567" t="s">
        <v>46</v>
      </c>
      <c r="H567">
        <v>1</v>
      </c>
      <c r="I567">
        <v>1</v>
      </c>
      <c r="J567">
        <v>1</v>
      </c>
      <c r="K567">
        <v>0</v>
      </c>
      <c r="L567">
        <v>0</v>
      </c>
      <c r="M567">
        <v>0</v>
      </c>
      <c r="N567">
        <v>0</v>
      </c>
      <c r="O567">
        <v>0</v>
      </c>
      <c r="Q567">
        <v>69.900000000000006</v>
      </c>
    </row>
    <row r="568" spans="1:17">
      <c r="A568" t="s">
        <v>614</v>
      </c>
      <c r="B568" s="8">
        <v>45711</v>
      </c>
      <c r="C568" t="s">
        <v>1</v>
      </c>
      <c r="D568" t="s">
        <v>34</v>
      </c>
      <c r="E568" t="s">
        <v>50</v>
      </c>
      <c r="F568" t="s">
        <v>55</v>
      </c>
      <c r="G568" t="s">
        <v>37</v>
      </c>
      <c r="H568">
        <v>1</v>
      </c>
      <c r="I568">
        <v>0</v>
      </c>
      <c r="J568">
        <v>0</v>
      </c>
      <c r="K568">
        <v>0</v>
      </c>
      <c r="L568">
        <v>0</v>
      </c>
      <c r="M568">
        <v>0</v>
      </c>
      <c r="N568">
        <v>0</v>
      </c>
      <c r="O568">
        <v>0</v>
      </c>
      <c r="Q568">
        <v>65.099999999999994</v>
      </c>
    </row>
    <row r="569" spans="1:17">
      <c r="A569" t="s">
        <v>615</v>
      </c>
      <c r="B569" s="8">
        <v>45704</v>
      </c>
      <c r="C569" t="s">
        <v>1</v>
      </c>
      <c r="D569" t="s">
        <v>39</v>
      </c>
      <c r="E569" t="s">
        <v>40</v>
      </c>
      <c r="F569" t="s">
        <v>45</v>
      </c>
      <c r="G569" t="s">
        <v>46</v>
      </c>
      <c r="H569">
        <v>1</v>
      </c>
      <c r="I569">
        <v>0</v>
      </c>
      <c r="J569">
        <v>0</v>
      </c>
      <c r="K569">
        <v>0</v>
      </c>
      <c r="L569">
        <v>0</v>
      </c>
      <c r="M569">
        <v>0</v>
      </c>
      <c r="N569">
        <v>0</v>
      </c>
      <c r="O569">
        <v>0</v>
      </c>
      <c r="Q569">
        <v>48.7</v>
      </c>
    </row>
    <row r="570" spans="1:17">
      <c r="A570" t="s">
        <v>616</v>
      </c>
      <c r="B570" s="8">
        <v>45709</v>
      </c>
      <c r="C570" t="s">
        <v>1</v>
      </c>
      <c r="D570" t="s">
        <v>39</v>
      </c>
      <c r="E570" t="s">
        <v>35</v>
      </c>
      <c r="F570" t="s">
        <v>41</v>
      </c>
      <c r="G570" t="s">
        <v>37</v>
      </c>
      <c r="H570">
        <v>1</v>
      </c>
      <c r="I570">
        <v>1</v>
      </c>
      <c r="J570">
        <v>0</v>
      </c>
      <c r="K570">
        <v>0</v>
      </c>
      <c r="L570">
        <v>0</v>
      </c>
      <c r="M570">
        <v>0</v>
      </c>
      <c r="N570">
        <v>0</v>
      </c>
      <c r="O570">
        <v>0</v>
      </c>
      <c r="Q570">
        <v>47.2</v>
      </c>
    </row>
    <row r="571" spans="1:17">
      <c r="A571" t="s">
        <v>617</v>
      </c>
      <c r="B571" s="8">
        <v>45664</v>
      </c>
      <c r="C571" t="s">
        <v>1</v>
      </c>
      <c r="D571" t="s">
        <v>34</v>
      </c>
      <c r="E571" t="s">
        <v>40</v>
      </c>
      <c r="F571" t="s">
        <v>55</v>
      </c>
      <c r="G571" t="s">
        <v>42</v>
      </c>
      <c r="H571">
        <v>1</v>
      </c>
      <c r="I571">
        <v>0</v>
      </c>
      <c r="J571">
        <v>0</v>
      </c>
      <c r="K571">
        <v>0</v>
      </c>
      <c r="L571">
        <v>0</v>
      </c>
      <c r="M571">
        <v>2</v>
      </c>
      <c r="N571">
        <v>1</v>
      </c>
      <c r="O571">
        <v>0</v>
      </c>
      <c r="Q571">
        <v>20.3</v>
      </c>
    </row>
    <row r="572" spans="1:17">
      <c r="A572" t="s">
        <v>618</v>
      </c>
      <c r="B572" s="8">
        <v>45722</v>
      </c>
      <c r="C572" t="s">
        <v>1</v>
      </c>
      <c r="D572" t="s">
        <v>39</v>
      </c>
      <c r="E572" t="s">
        <v>40</v>
      </c>
      <c r="F572" t="s">
        <v>45</v>
      </c>
      <c r="G572" t="s">
        <v>42</v>
      </c>
      <c r="H572">
        <v>0</v>
      </c>
      <c r="I572">
        <v>0</v>
      </c>
      <c r="J572">
        <v>0</v>
      </c>
      <c r="K572">
        <v>0</v>
      </c>
      <c r="L572">
        <v>0</v>
      </c>
      <c r="M572">
        <v>1</v>
      </c>
      <c r="N572">
        <v>1</v>
      </c>
      <c r="O572">
        <v>0</v>
      </c>
      <c r="Q572">
        <v>57.8</v>
      </c>
    </row>
    <row r="573" spans="1:17">
      <c r="A573" t="s">
        <v>619</v>
      </c>
      <c r="B573" s="8">
        <v>45746</v>
      </c>
      <c r="C573" t="s">
        <v>1</v>
      </c>
      <c r="D573" t="s">
        <v>44</v>
      </c>
      <c r="E573" t="s">
        <v>40</v>
      </c>
      <c r="F573" t="s">
        <v>36</v>
      </c>
      <c r="G573" t="s">
        <v>37</v>
      </c>
      <c r="H573">
        <v>1</v>
      </c>
      <c r="I573">
        <v>0</v>
      </c>
      <c r="J573">
        <v>0</v>
      </c>
      <c r="K573">
        <v>0</v>
      </c>
      <c r="L573">
        <v>0</v>
      </c>
      <c r="M573">
        <v>0</v>
      </c>
      <c r="N573">
        <v>0</v>
      </c>
      <c r="O573">
        <v>0</v>
      </c>
      <c r="Q573">
        <v>78.7</v>
      </c>
    </row>
    <row r="574" spans="1:17">
      <c r="A574" t="s">
        <v>620</v>
      </c>
      <c r="B574" s="8">
        <v>45808</v>
      </c>
      <c r="C574" t="s">
        <v>1</v>
      </c>
      <c r="D574" t="s">
        <v>48</v>
      </c>
      <c r="E574" t="s">
        <v>35</v>
      </c>
      <c r="F574" t="s">
        <v>41</v>
      </c>
      <c r="G574" t="s">
        <v>42</v>
      </c>
      <c r="H574">
        <v>1</v>
      </c>
      <c r="I574">
        <v>0</v>
      </c>
      <c r="J574">
        <v>0</v>
      </c>
      <c r="K574">
        <v>0</v>
      </c>
      <c r="L574">
        <v>0</v>
      </c>
      <c r="M574">
        <v>0</v>
      </c>
      <c r="N574">
        <v>0</v>
      </c>
      <c r="O574">
        <v>0</v>
      </c>
      <c r="Q574">
        <v>63.6</v>
      </c>
    </row>
    <row r="575" spans="1:17">
      <c r="A575" t="s">
        <v>621</v>
      </c>
      <c r="B575" s="8">
        <v>45708</v>
      </c>
      <c r="C575" t="s">
        <v>1</v>
      </c>
      <c r="D575" t="s">
        <v>48</v>
      </c>
      <c r="E575" t="s">
        <v>40</v>
      </c>
      <c r="F575" t="s">
        <v>36</v>
      </c>
      <c r="G575" t="s">
        <v>42</v>
      </c>
      <c r="H575">
        <v>0</v>
      </c>
      <c r="I575">
        <v>0</v>
      </c>
      <c r="J575">
        <v>0</v>
      </c>
      <c r="K575">
        <v>0</v>
      </c>
      <c r="L575">
        <v>0</v>
      </c>
      <c r="M575">
        <v>2</v>
      </c>
      <c r="N575">
        <v>1</v>
      </c>
      <c r="O575">
        <v>0</v>
      </c>
      <c r="Q575">
        <v>45.1</v>
      </c>
    </row>
    <row r="576" spans="1:17">
      <c r="A576" t="s">
        <v>622</v>
      </c>
      <c r="B576" s="8">
        <v>45670</v>
      </c>
      <c r="C576" t="s">
        <v>1</v>
      </c>
      <c r="D576" t="s">
        <v>39</v>
      </c>
      <c r="E576" t="s">
        <v>40</v>
      </c>
      <c r="F576" t="s">
        <v>57</v>
      </c>
      <c r="G576" t="s">
        <v>42</v>
      </c>
      <c r="H576">
        <v>0</v>
      </c>
      <c r="I576">
        <v>0</v>
      </c>
      <c r="J576">
        <v>0</v>
      </c>
      <c r="K576">
        <v>0</v>
      </c>
      <c r="L576">
        <v>0</v>
      </c>
      <c r="M576">
        <v>0</v>
      </c>
      <c r="N576">
        <v>0</v>
      </c>
      <c r="O576">
        <v>0</v>
      </c>
      <c r="Q576">
        <v>77.5</v>
      </c>
    </row>
    <row r="577" spans="1:17">
      <c r="A577" t="s">
        <v>623</v>
      </c>
      <c r="B577" s="8">
        <v>45790</v>
      </c>
      <c r="C577" t="s">
        <v>1</v>
      </c>
      <c r="D577" t="s">
        <v>44</v>
      </c>
      <c r="E577" t="s">
        <v>35</v>
      </c>
      <c r="F577" t="s">
        <v>45</v>
      </c>
      <c r="G577" t="s">
        <v>37</v>
      </c>
      <c r="H577">
        <v>1</v>
      </c>
      <c r="I577">
        <v>1</v>
      </c>
      <c r="J577">
        <v>0</v>
      </c>
      <c r="K577">
        <v>0</v>
      </c>
      <c r="L577">
        <v>0</v>
      </c>
      <c r="M577">
        <v>0</v>
      </c>
      <c r="N577">
        <v>0</v>
      </c>
      <c r="O577">
        <v>0</v>
      </c>
      <c r="Q577">
        <v>58</v>
      </c>
    </row>
    <row r="578" spans="1:17">
      <c r="A578" t="s">
        <v>624</v>
      </c>
      <c r="B578" s="8">
        <v>45768</v>
      </c>
      <c r="C578" t="s">
        <v>1</v>
      </c>
      <c r="D578" t="s">
        <v>48</v>
      </c>
      <c r="E578" t="s">
        <v>50</v>
      </c>
      <c r="F578" t="s">
        <v>41</v>
      </c>
      <c r="G578" t="s">
        <v>42</v>
      </c>
      <c r="H578">
        <v>1</v>
      </c>
      <c r="I578">
        <v>0</v>
      </c>
      <c r="J578">
        <v>0</v>
      </c>
      <c r="K578">
        <v>0</v>
      </c>
      <c r="L578">
        <v>0</v>
      </c>
      <c r="M578">
        <v>0</v>
      </c>
      <c r="N578">
        <v>0</v>
      </c>
      <c r="O578">
        <v>0</v>
      </c>
      <c r="Q578">
        <v>68.099999999999994</v>
      </c>
    </row>
    <row r="579" spans="1:17">
      <c r="A579" t="s">
        <v>625</v>
      </c>
      <c r="B579" s="8">
        <v>45717</v>
      </c>
      <c r="C579" t="s">
        <v>1</v>
      </c>
      <c r="D579" t="s">
        <v>44</v>
      </c>
      <c r="E579" t="s">
        <v>50</v>
      </c>
      <c r="F579" t="s">
        <v>41</v>
      </c>
      <c r="G579" t="s">
        <v>46</v>
      </c>
      <c r="H579">
        <v>1</v>
      </c>
      <c r="I579">
        <v>0</v>
      </c>
      <c r="J579">
        <v>0</v>
      </c>
      <c r="K579">
        <v>0</v>
      </c>
      <c r="L579">
        <v>0</v>
      </c>
      <c r="M579">
        <v>0</v>
      </c>
      <c r="N579">
        <v>0</v>
      </c>
      <c r="O579">
        <v>0</v>
      </c>
      <c r="Q579">
        <v>35.4</v>
      </c>
    </row>
    <row r="580" spans="1:17">
      <c r="A580" t="s">
        <v>626</v>
      </c>
      <c r="B580" s="8">
        <v>45726</v>
      </c>
      <c r="C580" t="s">
        <v>1</v>
      </c>
      <c r="D580" t="s">
        <v>39</v>
      </c>
      <c r="E580" t="s">
        <v>50</v>
      </c>
      <c r="F580" t="s">
        <v>41</v>
      </c>
      <c r="G580" t="s">
        <v>42</v>
      </c>
      <c r="H580">
        <v>0</v>
      </c>
      <c r="I580">
        <v>0</v>
      </c>
      <c r="J580">
        <v>0</v>
      </c>
      <c r="K580">
        <v>0</v>
      </c>
      <c r="L580">
        <v>0</v>
      </c>
      <c r="M580">
        <v>0</v>
      </c>
      <c r="N580">
        <v>0</v>
      </c>
      <c r="O580">
        <v>0</v>
      </c>
      <c r="Q580">
        <v>47</v>
      </c>
    </row>
    <row r="581" spans="1:17">
      <c r="A581" t="s">
        <v>627</v>
      </c>
      <c r="B581" s="8">
        <v>45724</v>
      </c>
      <c r="C581" t="s">
        <v>1</v>
      </c>
      <c r="D581" t="s">
        <v>44</v>
      </c>
      <c r="E581" t="s">
        <v>35</v>
      </c>
      <c r="F581" t="s">
        <v>45</v>
      </c>
      <c r="G581" t="s">
        <v>42</v>
      </c>
      <c r="H581">
        <v>0</v>
      </c>
      <c r="I581">
        <v>0</v>
      </c>
      <c r="J581">
        <v>0</v>
      </c>
      <c r="K581">
        <v>0</v>
      </c>
      <c r="L581">
        <v>0</v>
      </c>
      <c r="M581">
        <v>0</v>
      </c>
      <c r="N581">
        <v>0</v>
      </c>
      <c r="O581">
        <v>0</v>
      </c>
      <c r="Q581">
        <v>75</v>
      </c>
    </row>
    <row r="582" spans="1:17">
      <c r="A582" t="s">
        <v>628</v>
      </c>
      <c r="B582" s="8">
        <v>45803</v>
      </c>
      <c r="C582" t="s">
        <v>1</v>
      </c>
      <c r="D582" t="s">
        <v>48</v>
      </c>
      <c r="E582" t="s">
        <v>35</v>
      </c>
      <c r="F582" t="s">
        <v>45</v>
      </c>
      <c r="G582" t="s">
        <v>42</v>
      </c>
      <c r="H582">
        <v>1</v>
      </c>
      <c r="I582">
        <v>1</v>
      </c>
      <c r="J582">
        <v>1</v>
      </c>
      <c r="K582">
        <v>0</v>
      </c>
      <c r="L582">
        <v>0</v>
      </c>
      <c r="M582">
        <v>3</v>
      </c>
      <c r="N582">
        <v>1</v>
      </c>
      <c r="O582">
        <v>0</v>
      </c>
      <c r="Q582">
        <v>50.2</v>
      </c>
    </row>
    <row r="583" spans="1:17">
      <c r="A583" t="s">
        <v>629</v>
      </c>
      <c r="B583" s="8">
        <v>45797</v>
      </c>
      <c r="C583" t="s">
        <v>1</v>
      </c>
      <c r="D583" t="s">
        <v>44</v>
      </c>
      <c r="E583" t="s">
        <v>35</v>
      </c>
      <c r="F583" t="s">
        <v>45</v>
      </c>
      <c r="G583" t="s">
        <v>42</v>
      </c>
      <c r="H583">
        <v>1</v>
      </c>
      <c r="I583">
        <v>0</v>
      </c>
      <c r="J583">
        <v>0</v>
      </c>
      <c r="K583">
        <v>0</v>
      </c>
      <c r="L583">
        <v>0</v>
      </c>
      <c r="M583">
        <v>0</v>
      </c>
      <c r="N583">
        <v>0</v>
      </c>
      <c r="O583">
        <v>0</v>
      </c>
      <c r="Q583">
        <v>40.1</v>
      </c>
    </row>
    <row r="584" spans="1:17">
      <c r="A584" t="s">
        <v>630</v>
      </c>
      <c r="B584" s="8">
        <v>45738</v>
      </c>
      <c r="C584" t="s">
        <v>1</v>
      </c>
      <c r="D584" t="s">
        <v>39</v>
      </c>
      <c r="E584" t="s">
        <v>35</v>
      </c>
      <c r="F584" t="s">
        <v>45</v>
      </c>
      <c r="G584" t="s">
        <v>42</v>
      </c>
      <c r="H584">
        <v>0</v>
      </c>
      <c r="I584">
        <v>0</v>
      </c>
      <c r="J584">
        <v>0</v>
      </c>
      <c r="K584">
        <v>0</v>
      </c>
      <c r="L584">
        <v>0</v>
      </c>
      <c r="M584">
        <v>0</v>
      </c>
      <c r="N584">
        <v>0</v>
      </c>
      <c r="O584">
        <v>0</v>
      </c>
      <c r="Q584">
        <v>61.1</v>
      </c>
    </row>
    <row r="585" spans="1:17">
      <c r="A585" t="s">
        <v>631</v>
      </c>
      <c r="B585" s="8">
        <v>45703</v>
      </c>
      <c r="C585" t="s">
        <v>1</v>
      </c>
      <c r="D585" t="s">
        <v>48</v>
      </c>
      <c r="E585" t="s">
        <v>35</v>
      </c>
      <c r="F585" t="s">
        <v>45</v>
      </c>
      <c r="G585" t="s">
        <v>42</v>
      </c>
      <c r="H585">
        <v>0</v>
      </c>
      <c r="I585">
        <v>0</v>
      </c>
      <c r="J585">
        <v>0</v>
      </c>
      <c r="K585">
        <v>0</v>
      </c>
      <c r="L585">
        <v>0</v>
      </c>
      <c r="M585">
        <v>0</v>
      </c>
      <c r="N585">
        <v>0</v>
      </c>
      <c r="O585">
        <v>0</v>
      </c>
      <c r="Q585">
        <v>42.4</v>
      </c>
    </row>
    <row r="586" spans="1:17">
      <c r="A586" t="s">
        <v>632</v>
      </c>
      <c r="B586" s="8">
        <v>45665</v>
      </c>
      <c r="C586" t="s">
        <v>1</v>
      </c>
      <c r="D586" t="s">
        <v>34</v>
      </c>
      <c r="E586" t="s">
        <v>40</v>
      </c>
      <c r="F586" t="s">
        <v>57</v>
      </c>
      <c r="G586" t="s">
        <v>42</v>
      </c>
      <c r="H586">
        <v>0</v>
      </c>
      <c r="I586">
        <v>0</v>
      </c>
      <c r="J586">
        <v>0</v>
      </c>
      <c r="K586">
        <v>0</v>
      </c>
      <c r="L586">
        <v>0</v>
      </c>
      <c r="M586">
        <v>1</v>
      </c>
      <c r="N586">
        <v>1</v>
      </c>
      <c r="O586">
        <v>0</v>
      </c>
      <c r="Q586">
        <v>46.6</v>
      </c>
    </row>
    <row r="587" spans="1:17">
      <c r="A587" t="s">
        <v>633</v>
      </c>
      <c r="B587" s="8">
        <v>45686</v>
      </c>
      <c r="C587" t="s">
        <v>1</v>
      </c>
      <c r="D587" t="s">
        <v>48</v>
      </c>
      <c r="E587" t="s">
        <v>40</v>
      </c>
      <c r="F587" t="s">
        <v>41</v>
      </c>
      <c r="G587" t="s">
        <v>46</v>
      </c>
      <c r="H587">
        <v>1</v>
      </c>
      <c r="I587">
        <v>1</v>
      </c>
      <c r="J587">
        <v>0</v>
      </c>
      <c r="K587">
        <v>0</v>
      </c>
      <c r="L587">
        <v>0</v>
      </c>
      <c r="M587">
        <v>0</v>
      </c>
      <c r="N587">
        <v>0</v>
      </c>
      <c r="O587">
        <v>0</v>
      </c>
      <c r="Q587">
        <v>72.099999999999994</v>
      </c>
    </row>
    <row r="588" spans="1:17">
      <c r="A588" t="s">
        <v>634</v>
      </c>
      <c r="B588" s="8">
        <v>45784</v>
      </c>
      <c r="C588" t="s">
        <v>1</v>
      </c>
      <c r="D588" t="s">
        <v>44</v>
      </c>
      <c r="E588" t="s">
        <v>50</v>
      </c>
      <c r="F588" t="s">
        <v>41</v>
      </c>
      <c r="G588" t="s">
        <v>42</v>
      </c>
      <c r="H588">
        <v>0</v>
      </c>
      <c r="I588">
        <v>0</v>
      </c>
      <c r="J588">
        <v>0</v>
      </c>
      <c r="K588">
        <v>0</v>
      </c>
      <c r="L588">
        <v>0</v>
      </c>
      <c r="M588">
        <v>0</v>
      </c>
      <c r="N588">
        <v>0</v>
      </c>
      <c r="O588">
        <v>0</v>
      </c>
      <c r="Q588">
        <v>21.5</v>
      </c>
    </row>
    <row r="589" spans="1:17">
      <c r="A589" t="s">
        <v>635</v>
      </c>
      <c r="B589" s="8">
        <v>45717</v>
      </c>
      <c r="C589" t="s">
        <v>1</v>
      </c>
      <c r="D589" t="s">
        <v>34</v>
      </c>
      <c r="E589" t="s">
        <v>40</v>
      </c>
      <c r="F589" t="s">
        <v>57</v>
      </c>
      <c r="G589" t="s">
        <v>37</v>
      </c>
      <c r="H589">
        <v>1</v>
      </c>
      <c r="I589">
        <v>0</v>
      </c>
      <c r="J589">
        <v>0</v>
      </c>
      <c r="K589">
        <v>0</v>
      </c>
      <c r="L589">
        <v>0</v>
      </c>
      <c r="M589">
        <v>1</v>
      </c>
      <c r="N589">
        <v>1</v>
      </c>
      <c r="O589">
        <v>0</v>
      </c>
      <c r="Q589">
        <v>65.400000000000006</v>
      </c>
    </row>
    <row r="590" spans="1:17">
      <c r="A590" t="s">
        <v>636</v>
      </c>
      <c r="B590" s="8">
        <v>45767</v>
      </c>
      <c r="C590" t="s">
        <v>1</v>
      </c>
      <c r="D590" t="s">
        <v>44</v>
      </c>
      <c r="E590" t="s">
        <v>40</v>
      </c>
      <c r="F590" t="s">
        <v>41</v>
      </c>
      <c r="G590" t="s">
        <v>42</v>
      </c>
      <c r="H590">
        <v>1</v>
      </c>
      <c r="I590">
        <v>1</v>
      </c>
      <c r="J590">
        <v>0</v>
      </c>
      <c r="K590">
        <v>0</v>
      </c>
      <c r="L590">
        <v>0</v>
      </c>
      <c r="M590">
        <v>0</v>
      </c>
      <c r="N590">
        <v>0</v>
      </c>
      <c r="O590">
        <v>0</v>
      </c>
      <c r="Q590">
        <v>53.3</v>
      </c>
    </row>
    <row r="591" spans="1:17">
      <c r="A591" t="s">
        <v>637</v>
      </c>
      <c r="B591" s="8">
        <v>45673</v>
      </c>
      <c r="C591" t="s">
        <v>1</v>
      </c>
      <c r="D591" t="s">
        <v>44</v>
      </c>
      <c r="E591" t="s">
        <v>40</v>
      </c>
      <c r="F591" t="s">
        <v>41</v>
      </c>
      <c r="G591" t="s">
        <v>46</v>
      </c>
      <c r="H591">
        <v>0</v>
      </c>
      <c r="I591">
        <v>0</v>
      </c>
      <c r="J591">
        <v>0</v>
      </c>
      <c r="K591">
        <v>0</v>
      </c>
      <c r="L591">
        <v>0</v>
      </c>
      <c r="M591">
        <v>2</v>
      </c>
      <c r="N591">
        <v>1</v>
      </c>
      <c r="O591">
        <v>0</v>
      </c>
      <c r="Q591">
        <v>52.3</v>
      </c>
    </row>
    <row r="592" spans="1:17">
      <c r="A592" t="s">
        <v>638</v>
      </c>
      <c r="B592" s="8">
        <v>45751</v>
      </c>
      <c r="C592" t="s">
        <v>1</v>
      </c>
      <c r="D592" t="s">
        <v>44</v>
      </c>
      <c r="E592" t="s">
        <v>40</v>
      </c>
      <c r="F592" t="s">
        <v>45</v>
      </c>
      <c r="G592" t="s">
        <v>42</v>
      </c>
      <c r="H592">
        <v>1</v>
      </c>
      <c r="I592">
        <v>0</v>
      </c>
      <c r="J592">
        <v>0</v>
      </c>
      <c r="K592">
        <v>0</v>
      </c>
      <c r="L592">
        <v>0</v>
      </c>
      <c r="M592">
        <v>0</v>
      </c>
      <c r="N592">
        <v>0</v>
      </c>
      <c r="O592">
        <v>0</v>
      </c>
      <c r="Q592">
        <v>62.5</v>
      </c>
    </row>
    <row r="593" spans="1:17">
      <c r="A593" t="s">
        <v>639</v>
      </c>
      <c r="B593" s="8">
        <v>45686</v>
      </c>
      <c r="C593" t="s">
        <v>1</v>
      </c>
      <c r="D593" t="s">
        <v>34</v>
      </c>
      <c r="E593" t="s">
        <v>50</v>
      </c>
      <c r="F593" t="s">
        <v>57</v>
      </c>
      <c r="G593" t="s">
        <v>42</v>
      </c>
      <c r="H593">
        <v>1</v>
      </c>
      <c r="I593">
        <v>0</v>
      </c>
      <c r="J593">
        <v>0</v>
      </c>
      <c r="K593">
        <v>0</v>
      </c>
      <c r="L593">
        <v>0</v>
      </c>
      <c r="M593">
        <v>0</v>
      </c>
      <c r="N593">
        <v>0</v>
      </c>
      <c r="O593">
        <v>0</v>
      </c>
      <c r="Q593">
        <v>69.8</v>
      </c>
    </row>
    <row r="594" spans="1:17">
      <c r="A594" t="s">
        <v>640</v>
      </c>
      <c r="B594" s="8">
        <v>45766</v>
      </c>
      <c r="C594" t="s">
        <v>1</v>
      </c>
      <c r="D594" t="s">
        <v>44</v>
      </c>
      <c r="E594" t="s">
        <v>40</v>
      </c>
      <c r="F594" t="s">
        <v>36</v>
      </c>
      <c r="G594" t="s">
        <v>42</v>
      </c>
      <c r="H594">
        <v>1</v>
      </c>
      <c r="I594">
        <v>0</v>
      </c>
      <c r="J594">
        <v>0</v>
      </c>
      <c r="K594">
        <v>0</v>
      </c>
      <c r="L594">
        <v>0</v>
      </c>
      <c r="M594">
        <v>0</v>
      </c>
      <c r="N594">
        <v>0</v>
      </c>
      <c r="O594">
        <v>0</v>
      </c>
      <c r="Q594">
        <v>68.2</v>
      </c>
    </row>
    <row r="595" spans="1:17">
      <c r="A595" t="s">
        <v>641</v>
      </c>
      <c r="B595" s="8">
        <v>45726</v>
      </c>
      <c r="C595" t="s">
        <v>1</v>
      </c>
      <c r="D595" t="s">
        <v>48</v>
      </c>
      <c r="E595" t="s">
        <v>40</v>
      </c>
      <c r="F595" t="s">
        <v>57</v>
      </c>
      <c r="G595" t="s">
        <v>37</v>
      </c>
      <c r="H595">
        <v>1</v>
      </c>
      <c r="I595">
        <v>1</v>
      </c>
      <c r="J595">
        <v>1</v>
      </c>
      <c r="K595">
        <v>1</v>
      </c>
      <c r="L595">
        <v>751.73</v>
      </c>
      <c r="M595">
        <v>0</v>
      </c>
      <c r="N595">
        <v>0</v>
      </c>
      <c r="O595">
        <v>0</v>
      </c>
      <c r="P595">
        <v>6</v>
      </c>
      <c r="Q595">
        <v>35.200000000000003</v>
      </c>
    </row>
    <row r="596" spans="1:17">
      <c r="A596" t="s">
        <v>642</v>
      </c>
      <c r="B596" s="8">
        <v>45787</v>
      </c>
      <c r="C596" t="s">
        <v>1</v>
      </c>
      <c r="D596" t="s">
        <v>48</v>
      </c>
      <c r="E596" t="s">
        <v>40</v>
      </c>
      <c r="F596" t="s">
        <v>57</v>
      </c>
      <c r="G596" t="s">
        <v>37</v>
      </c>
      <c r="H596">
        <v>0</v>
      </c>
      <c r="I596">
        <v>0</v>
      </c>
      <c r="J596">
        <v>0</v>
      </c>
      <c r="K596">
        <v>0</v>
      </c>
      <c r="L596">
        <v>0</v>
      </c>
      <c r="M596">
        <v>0</v>
      </c>
      <c r="N596">
        <v>0</v>
      </c>
      <c r="O596">
        <v>0</v>
      </c>
      <c r="Q596">
        <v>59.3</v>
      </c>
    </row>
    <row r="597" spans="1:17">
      <c r="A597" t="s">
        <v>643</v>
      </c>
      <c r="B597" s="8">
        <v>45690</v>
      </c>
      <c r="C597" t="s">
        <v>1</v>
      </c>
      <c r="D597" t="s">
        <v>34</v>
      </c>
      <c r="E597" t="s">
        <v>40</v>
      </c>
      <c r="F597" t="s">
        <v>57</v>
      </c>
      <c r="G597" t="s">
        <v>42</v>
      </c>
      <c r="H597">
        <v>0</v>
      </c>
      <c r="I597">
        <v>0</v>
      </c>
      <c r="J597">
        <v>0</v>
      </c>
      <c r="K597">
        <v>0</v>
      </c>
      <c r="L597">
        <v>0</v>
      </c>
      <c r="M597">
        <v>0</v>
      </c>
      <c r="N597">
        <v>0</v>
      </c>
      <c r="O597">
        <v>0</v>
      </c>
      <c r="Q597">
        <v>68.099999999999994</v>
      </c>
    </row>
    <row r="598" spans="1:17">
      <c r="A598" t="s">
        <v>644</v>
      </c>
      <c r="B598" s="8">
        <v>45783</v>
      </c>
      <c r="C598" t="s">
        <v>1</v>
      </c>
      <c r="D598" t="s">
        <v>34</v>
      </c>
      <c r="E598" t="s">
        <v>35</v>
      </c>
      <c r="F598" t="s">
        <v>41</v>
      </c>
      <c r="G598" t="s">
        <v>42</v>
      </c>
      <c r="H598">
        <v>1</v>
      </c>
      <c r="I598">
        <v>1</v>
      </c>
      <c r="J598">
        <v>0</v>
      </c>
      <c r="K598">
        <v>0</v>
      </c>
      <c r="L598">
        <v>0</v>
      </c>
      <c r="M598">
        <v>0</v>
      </c>
      <c r="N598">
        <v>0</v>
      </c>
      <c r="O598">
        <v>0</v>
      </c>
      <c r="Q598">
        <v>74.8</v>
      </c>
    </row>
    <row r="599" spans="1:17">
      <c r="A599" t="s">
        <v>645</v>
      </c>
      <c r="B599" s="8">
        <v>45676</v>
      </c>
      <c r="C599" t="s">
        <v>1</v>
      </c>
      <c r="D599" t="s">
        <v>39</v>
      </c>
      <c r="E599" t="s">
        <v>35</v>
      </c>
      <c r="F599" t="s">
        <v>41</v>
      </c>
      <c r="G599" t="s">
        <v>42</v>
      </c>
      <c r="H599">
        <v>1</v>
      </c>
      <c r="I599">
        <v>1</v>
      </c>
      <c r="J599">
        <v>1</v>
      </c>
      <c r="K599">
        <v>0</v>
      </c>
      <c r="L599">
        <v>0</v>
      </c>
      <c r="M599">
        <v>0</v>
      </c>
      <c r="N599">
        <v>0</v>
      </c>
      <c r="O599">
        <v>0</v>
      </c>
      <c r="Q599">
        <v>61.7</v>
      </c>
    </row>
    <row r="600" spans="1:17">
      <c r="A600" t="s">
        <v>646</v>
      </c>
      <c r="B600" s="8">
        <v>45659</v>
      </c>
      <c r="C600" t="s">
        <v>1</v>
      </c>
      <c r="D600" t="s">
        <v>34</v>
      </c>
      <c r="E600" t="s">
        <v>40</v>
      </c>
      <c r="F600" t="s">
        <v>41</v>
      </c>
      <c r="G600" t="s">
        <v>42</v>
      </c>
      <c r="H600">
        <v>1</v>
      </c>
      <c r="I600">
        <v>0</v>
      </c>
      <c r="J600">
        <v>0</v>
      </c>
      <c r="K600">
        <v>0</v>
      </c>
      <c r="L600">
        <v>0</v>
      </c>
      <c r="M600">
        <v>0</v>
      </c>
      <c r="N600">
        <v>0</v>
      </c>
      <c r="O600">
        <v>0</v>
      </c>
      <c r="Q600">
        <v>24.3</v>
      </c>
    </row>
    <row r="601" spans="1:17">
      <c r="A601" t="s">
        <v>647</v>
      </c>
      <c r="B601" s="8">
        <v>45780</v>
      </c>
      <c r="C601" t="s">
        <v>1</v>
      </c>
      <c r="D601" t="s">
        <v>48</v>
      </c>
      <c r="E601" t="s">
        <v>35</v>
      </c>
      <c r="F601" t="s">
        <v>45</v>
      </c>
      <c r="G601" t="s">
        <v>42</v>
      </c>
      <c r="H601">
        <v>0</v>
      </c>
      <c r="I601">
        <v>0</v>
      </c>
      <c r="J601">
        <v>0</v>
      </c>
      <c r="K601">
        <v>0</v>
      </c>
      <c r="L601">
        <v>0</v>
      </c>
      <c r="M601">
        <v>1</v>
      </c>
      <c r="N601">
        <v>1</v>
      </c>
      <c r="O601">
        <v>0</v>
      </c>
      <c r="Q601">
        <v>61.9</v>
      </c>
    </row>
    <row r="602" spans="1:17">
      <c r="A602" t="s">
        <v>648</v>
      </c>
      <c r="B602" s="8">
        <v>45804</v>
      </c>
      <c r="C602" t="s">
        <v>1</v>
      </c>
      <c r="D602" t="s">
        <v>44</v>
      </c>
      <c r="E602" t="s">
        <v>35</v>
      </c>
      <c r="F602" t="s">
        <v>55</v>
      </c>
      <c r="G602" t="s">
        <v>46</v>
      </c>
      <c r="H602">
        <v>0</v>
      </c>
      <c r="I602">
        <v>0</v>
      </c>
      <c r="J602">
        <v>0</v>
      </c>
      <c r="K602">
        <v>0</v>
      </c>
      <c r="L602">
        <v>0</v>
      </c>
      <c r="M602">
        <v>2</v>
      </c>
      <c r="N602">
        <v>1</v>
      </c>
      <c r="O602">
        <v>0</v>
      </c>
      <c r="Q602">
        <v>41.7</v>
      </c>
    </row>
    <row r="603" spans="1:17">
      <c r="A603" t="s">
        <v>649</v>
      </c>
      <c r="B603" s="8">
        <v>45697</v>
      </c>
      <c r="C603" t="s">
        <v>1</v>
      </c>
      <c r="D603" t="s">
        <v>48</v>
      </c>
      <c r="E603" t="s">
        <v>35</v>
      </c>
      <c r="F603" t="s">
        <v>57</v>
      </c>
      <c r="G603" t="s">
        <v>42</v>
      </c>
      <c r="H603">
        <v>1</v>
      </c>
      <c r="I603">
        <v>0</v>
      </c>
      <c r="J603">
        <v>0</v>
      </c>
      <c r="K603">
        <v>0</v>
      </c>
      <c r="L603">
        <v>0</v>
      </c>
      <c r="M603">
        <v>0</v>
      </c>
      <c r="N603">
        <v>0</v>
      </c>
      <c r="O603">
        <v>0</v>
      </c>
      <c r="Q603">
        <v>87.6</v>
      </c>
    </row>
    <row r="604" spans="1:17">
      <c r="A604" t="s">
        <v>650</v>
      </c>
      <c r="B604" s="8">
        <v>45795</v>
      </c>
      <c r="C604" t="s">
        <v>1</v>
      </c>
      <c r="D604" t="s">
        <v>44</v>
      </c>
      <c r="E604" t="s">
        <v>40</v>
      </c>
      <c r="F604" t="s">
        <v>45</v>
      </c>
      <c r="G604" t="s">
        <v>42</v>
      </c>
      <c r="H604">
        <v>1</v>
      </c>
      <c r="I604">
        <v>0</v>
      </c>
      <c r="J604">
        <v>0</v>
      </c>
      <c r="K604">
        <v>0</v>
      </c>
      <c r="L604">
        <v>0</v>
      </c>
      <c r="M604">
        <v>0</v>
      </c>
      <c r="N604">
        <v>0</v>
      </c>
      <c r="O604">
        <v>0</v>
      </c>
      <c r="Q604">
        <v>30.8</v>
      </c>
    </row>
    <row r="605" spans="1:17">
      <c r="A605" t="s">
        <v>651</v>
      </c>
      <c r="B605" s="8">
        <v>45794</v>
      </c>
      <c r="C605" t="s">
        <v>1</v>
      </c>
      <c r="D605" t="s">
        <v>34</v>
      </c>
      <c r="E605" t="s">
        <v>40</v>
      </c>
      <c r="F605" t="s">
        <v>36</v>
      </c>
      <c r="G605" t="s">
        <v>42</v>
      </c>
      <c r="H605">
        <v>0</v>
      </c>
      <c r="I605">
        <v>0</v>
      </c>
      <c r="J605">
        <v>0</v>
      </c>
      <c r="K605">
        <v>0</v>
      </c>
      <c r="L605">
        <v>0</v>
      </c>
      <c r="M605">
        <v>0</v>
      </c>
      <c r="N605">
        <v>0</v>
      </c>
      <c r="O605">
        <v>0</v>
      </c>
      <c r="Q605">
        <v>54</v>
      </c>
    </row>
    <row r="606" spans="1:17">
      <c r="A606" t="s">
        <v>652</v>
      </c>
      <c r="B606" s="8">
        <v>45682</v>
      </c>
      <c r="C606" t="s">
        <v>1</v>
      </c>
      <c r="D606" t="s">
        <v>44</v>
      </c>
      <c r="E606" t="s">
        <v>35</v>
      </c>
      <c r="F606" t="s">
        <v>55</v>
      </c>
      <c r="G606" t="s">
        <v>37</v>
      </c>
      <c r="H606">
        <v>1</v>
      </c>
      <c r="I606">
        <v>0</v>
      </c>
      <c r="J606">
        <v>0</v>
      </c>
      <c r="K606">
        <v>0</v>
      </c>
      <c r="L606">
        <v>0</v>
      </c>
      <c r="M606">
        <v>1</v>
      </c>
      <c r="N606">
        <v>1</v>
      </c>
      <c r="O606">
        <v>0</v>
      </c>
      <c r="Q606">
        <v>54.5</v>
      </c>
    </row>
    <row r="607" spans="1:17">
      <c r="A607" t="s">
        <v>653</v>
      </c>
      <c r="B607" s="8">
        <v>45781</v>
      </c>
      <c r="C607" t="s">
        <v>1</v>
      </c>
      <c r="D607" t="s">
        <v>39</v>
      </c>
      <c r="E607" t="s">
        <v>40</v>
      </c>
      <c r="F607" t="s">
        <v>45</v>
      </c>
      <c r="G607" t="s">
        <v>46</v>
      </c>
      <c r="H607">
        <v>1</v>
      </c>
      <c r="I607">
        <v>1</v>
      </c>
      <c r="J607">
        <v>0</v>
      </c>
      <c r="K607">
        <v>0</v>
      </c>
      <c r="L607">
        <v>0</v>
      </c>
      <c r="M607">
        <v>0</v>
      </c>
      <c r="N607">
        <v>0</v>
      </c>
      <c r="O607">
        <v>0</v>
      </c>
      <c r="Q607">
        <v>61.3</v>
      </c>
    </row>
    <row r="608" spans="1:17">
      <c r="A608" t="s">
        <v>654</v>
      </c>
      <c r="B608" s="8">
        <v>45761</v>
      </c>
      <c r="C608" t="s">
        <v>1</v>
      </c>
      <c r="D608" t="s">
        <v>39</v>
      </c>
      <c r="E608" t="s">
        <v>40</v>
      </c>
      <c r="F608" t="s">
        <v>41</v>
      </c>
      <c r="G608" t="s">
        <v>42</v>
      </c>
      <c r="H608">
        <v>1</v>
      </c>
      <c r="I608">
        <v>0</v>
      </c>
      <c r="J608">
        <v>0</v>
      </c>
      <c r="K608">
        <v>0</v>
      </c>
      <c r="L608">
        <v>0</v>
      </c>
      <c r="M608">
        <v>0</v>
      </c>
      <c r="N608">
        <v>0</v>
      </c>
      <c r="O608">
        <v>0</v>
      </c>
      <c r="Q608">
        <v>62.7</v>
      </c>
    </row>
    <row r="609" spans="1:17">
      <c r="A609" t="s">
        <v>655</v>
      </c>
      <c r="B609" s="8">
        <v>45765</v>
      </c>
      <c r="C609" t="s">
        <v>1</v>
      </c>
      <c r="D609" t="s">
        <v>48</v>
      </c>
      <c r="E609" t="s">
        <v>40</v>
      </c>
      <c r="F609" t="s">
        <v>45</v>
      </c>
      <c r="G609" t="s">
        <v>42</v>
      </c>
      <c r="H609">
        <v>1</v>
      </c>
      <c r="I609">
        <v>1</v>
      </c>
      <c r="J609">
        <v>0</v>
      </c>
      <c r="K609">
        <v>0</v>
      </c>
      <c r="L609">
        <v>0</v>
      </c>
      <c r="M609">
        <v>0</v>
      </c>
      <c r="N609">
        <v>0</v>
      </c>
      <c r="O609">
        <v>0</v>
      </c>
      <c r="Q609">
        <v>43.1</v>
      </c>
    </row>
    <row r="610" spans="1:17">
      <c r="A610" t="s">
        <v>656</v>
      </c>
      <c r="B610" s="8">
        <v>45712</v>
      </c>
      <c r="C610" t="s">
        <v>1</v>
      </c>
      <c r="D610" t="s">
        <v>48</v>
      </c>
      <c r="E610" t="s">
        <v>35</v>
      </c>
      <c r="F610" t="s">
        <v>36</v>
      </c>
      <c r="G610" t="s">
        <v>37</v>
      </c>
      <c r="H610">
        <v>0</v>
      </c>
      <c r="I610">
        <v>0</v>
      </c>
      <c r="J610">
        <v>0</v>
      </c>
      <c r="K610">
        <v>0</v>
      </c>
      <c r="L610">
        <v>0</v>
      </c>
      <c r="M610">
        <v>0</v>
      </c>
      <c r="N610">
        <v>0</v>
      </c>
      <c r="O610">
        <v>0</v>
      </c>
      <c r="Q610">
        <v>59.9</v>
      </c>
    </row>
    <row r="611" spans="1:17">
      <c r="A611" t="s">
        <v>657</v>
      </c>
      <c r="B611" s="8">
        <v>45766</v>
      </c>
      <c r="C611" t="s">
        <v>1</v>
      </c>
      <c r="D611" t="s">
        <v>34</v>
      </c>
      <c r="E611" t="s">
        <v>50</v>
      </c>
      <c r="F611" t="s">
        <v>45</v>
      </c>
      <c r="G611" t="s">
        <v>42</v>
      </c>
      <c r="H611">
        <v>1</v>
      </c>
      <c r="I611">
        <v>1</v>
      </c>
      <c r="J611">
        <v>1</v>
      </c>
      <c r="K611">
        <v>0</v>
      </c>
      <c r="L611">
        <v>0</v>
      </c>
      <c r="M611">
        <v>0</v>
      </c>
      <c r="N611">
        <v>0</v>
      </c>
      <c r="O611">
        <v>0</v>
      </c>
      <c r="Q611">
        <v>55.7</v>
      </c>
    </row>
    <row r="612" spans="1:17">
      <c r="A612" t="s">
        <v>658</v>
      </c>
      <c r="B612" s="8">
        <v>45723</v>
      </c>
      <c r="C612" t="s">
        <v>1</v>
      </c>
      <c r="D612" t="s">
        <v>48</v>
      </c>
      <c r="E612" t="s">
        <v>35</v>
      </c>
      <c r="F612" t="s">
        <v>41</v>
      </c>
      <c r="G612" t="s">
        <v>37</v>
      </c>
      <c r="H612">
        <v>1</v>
      </c>
      <c r="I612">
        <v>0</v>
      </c>
      <c r="J612">
        <v>0</v>
      </c>
      <c r="K612">
        <v>0</v>
      </c>
      <c r="L612">
        <v>0</v>
      </c>
      <c r="M612">
        <v>0</v>
      </c>
      <c r="N612">
        <v>0</v>
      </c>
      <c r="O612">
        <v>0</v>
      </c>
      <c r="Q612">
        <v>37.1</v>
      </c>
    </row>
    <row r="613" spans="1:17">
      <c r="A613" t="s">
        <v>659</v>
      </c>
      <c r="B613" s="8">
        <v>45725</v>
      </c>
      <c r="C613" t="s">
        <v>1</v>
      </c>
      <c r="D613" t="s">
        <v>44</v>
      </c>
      <c r="E613" t="s">
        <v>40</v>
      </c>
      <c r="F613" t="s">
        <v>41</v>
      </c>
      <c r="G613" t="s">
        <v>37</v>
      </c>
      <c r="H613">
        <v>0</v>
      </c>
      <c r="I613">
        <v>0</v>
      </c>
      <c r="J613">
        <v>0</v>
      </c>
      <c r="K613">
        <v>0</v>
      </c>
      <c r="L613">
        <v>0</v>
      </c>
      <c r="M613">
        <v>1</v>
      </c>
      <c r="N613">
        <v>1</v>
      </c>
      <c r="O613">
        <v>0</v>
      </c>
      <c r="Q613">
        <v>46.7</v>
      </c>
    </row>
    <row r="614" spans="1:17">
      <c r="A614" t="s">
        <v>660</v>
      </c>
      <c r="B614" s="8">
        <v>45778</v>
      </c>
      <c r="C614" t="s">
        <v>1</v>
      </c>
      <c r="D614" t="s">
        <v>48</v>
      </c>
      <c r="E614" t="s">
        <v>35</v>
      </c>
      <c r="F614" t="s">
        <v>41</v>
      </c>
      <c r="G614" t="s">
        <v>37</v>
      </c>
      <c r="H614">
        <v>1</v>
      </c>
      <c r="I614">
        <v>0</v>
      </c>
      <c r="J614">
        <v>0</v>
      </c>
      <c r="K614">
        <v>0</v>
      </c>
      <c r="L614">
        <v>0</v>
      </c>
      <c r="M614">
        <v>0</v>
      </c>
      <c r="N614">
        <v>0</v>
      </c>
      <c r="O614">
        <v>0</v>
      </c>
      <c r="Q614">
        <v>54.1</v>
      </c>
    </row>
    <row r="615" spans="1:17">
      <c r="A615" t="s">
        <v>661</v>
      </c>
      <c r="B615" s="8">
        <v>45697</v>
      </c>
      <c r="C615" t="s">
        <v>1</v>
      </c>
      <c r="D615" t="s">
        <v>39</v>
      </c>
      <c r="E615" t="s">
        <v>35</v>
      </c>
      <c r="F615" t="s">
        <v>41</v>
      </c>
      <c r="G615" t="s">
        <v>46</v>
      </c>
      <c r="H615">
        <v>1</v>
      </c>
      <c r="I615">
        <v>1</v>
      </c>
      <c r="J615">
        <v>1</v>
      </c>
      <c r="K615">
        <v>0</v>
      </c>
      <c r="L615">
        <v>0</v>
      </c>
      <c r="M615">
        <v>0</v>
      </c>
      <c r="N615">
        <v>0</v>
      </c>
      <c r="O615">
        <v>0</v>
      </c>
      <c r="Q615">
        <v>56.1</v>
      </c>
    </row>
    <row r="616" spans="1:17">
      <c r="A616" t="s">
        <v>662</v>
      </c>
      <c r="B616" s="8">
        <v>45799</v>
      </c>
      <c r="C616" t="s">
        <v>1</v>
      </c>
      <c r="D616" t="s">
        <v>39</v>
      </c>
      <c r="E616" t="s">
        <v>40</v>
      </c>
      <c r="F616" t="s">
        <v>55</v>
      </c>
      <c r="G616" t="s">
        <v>46</v>
      </c>
      <c r="H616">
        <v>0</v>
      </c>
      <c r="I616">
        <v>0</v>
      </c>
      <c r="J616">
        <v>0</v>
      </c>
      <c r="K616">
        <v>0</v>
      </c>
      <c r="L616">
        <v>0</v>
      </c>
      <c r="M616">
        <v>0</v>
      </c>
      <c r="N616">
        <v>0</v>
      </c>
      <c r="O616">
        <v>0</v>
      </c>
      <c r="Q616">
        <v>23.6</v>
      </c>
    </row>
    <row r="617" spans="1:17">
      <c r="A617" t="s">
        <v>663</v>
      </c>
      <c r="B617" s="8">
        <v>45699</v>
      </c>
      <c r="C617" t="s">
        <v>1</v>
      </c>
      <c r="D617" t="s">
        <v>34</v>
      </c>
      <c r="E617" t="s">
        <v>40</v>
      </c>
      <c r="F617" t="s">
        <v>41</v>
      </c>
      <c r="G617" t="s">
        <v>46</v>
      </c>
      <c r="H617">
        <v>0</v>
      </c>
      <c r="I617">
        <v>0</v>
      </c>
      <c r="J617">
        <v>0</v>
      </c>
      <c r="K617">
        <v>0</v>
      </c>
      <c r="L617">
        <v>0</v>
      </c>
      <c r="M617">
        <v>0</v>
      </c>
      <c r="N617">
        <v>0</v>
      </c>
      <c r="O617">
        <v>0</v>
      </c>
      <c r="Q617">
        <v>54.7</v>
      </c>
    </row>
    <row r="618" spans="1:17">
      <c r="A618" t="s">
        <v>664</v>
      </c>
      <c r="B618" s="8">
        <v>45759</v>
      </c>
      <c r="C618" t="s">
        <v>1</v>
      </c>
      <c r="D618" t="s">
        <v>34</v>
      </c>
      <c r="E618" t="s">
        <v>40</v>
      </c>
      <c r="F618" t="s">
        <v>55</v>
      </c>
      <c r="G618" t="s">
        <v>37</v>
      </c>
      <c r="H618">
        <v>0</v>
      </c>
      <c r="I618">
        <v>0</v>
      </c>
      <c r="J618">
        <v>0</v>
      </c>
      <c r="K618">
        <v>0</v>
      </c>
      <c r="L618">
        <v>0</v>
      </c>
      <c r="M618">
        <v>2</v>
      </c>
      <c r="N618">
        <v>1</v>
      </c>
      <c r="O618">
        <v>0</v>
      </c>
      <c r="Q618">
        <v>50.4</v>
      </c>
    </row>
    <row r="619" spans="1:17">
      <c r="A619" t="s">
        <v>665</v>
      </c>
      <c r="B619" s="8">
        <v>45717</v>
      </c>
      <c r="C619" t="s">
        <v>1</v>
      </c>
      <c r="D619" t="s">
        <v>39</v>
      </c>
      <c r="E619" t="s">
        <v>40</v>
      </c>
      <c r="F619" t="s">
        <v>57</v>
      </c>
      <c r="G619" t="s">
        <v>42</v>
      </c>
      <c r="H619">
        <v>1</v>
      </c>
      <c r="I619">
        <v>0</v>
      </c>
      <c r="J619">
        <v>0</v>
      </c>
      <c r="K619">
        <v>0</v>
      </c>
      <c r="L619">
        <v>0</v>
      </c>
      <c r="M619">
        <v>0</v>
      </c>
      <c r="N619">
        <v>0</v>
      </c>
      <c r="O619">
        <v>0</v>
      </c>
      <c r="Q619">
        <v>54.5</v>
      </c>
    </row>
    <row r="620" spans="1:17">
      <c r="A620" t="s">
        <v>666</v>
      </c>
      <c r="B620" s="8">
        <v>45733</v>
      </c>
      <c r="C620" t="s">
        <v>1</v>
      </c>
      <c r="D620" t="s">
        <v>39</v>
      </c>
      <c r="E620" t="s">
        <v>35</v>
      </c>
      <c r="F620" t="s">
        <v>36</v>
      </c>
      <c r="G620" t="s">
        <v>37</v>
      </c>
      <c r="H620">
        <v>0</v>
      </c>
      <c r="I620">
        <v>0</v>
      </c>
      <c r="J620">
        <v>0</v>
      </c>
      <c r="K620">
        <v>0</v>
      </c>
      <c r="L620">
        <v>0</v>
      </c>
      <c r="M620">
        <v>0</v>
      </c>
      <c r="N620">
        <v>0</v>
      </c>
      <c r="O620">
        <v>0</v>
      </c>
      <c r="Q620">
        <v>58</v>
      </c>
    </row>
    <row r="621" spans="1:17">
      <c r="A621" t="s">
        <v>667</v>
      </c>
      <c r="B621" s="8">
        <v>45668</v>
      </c>
      <c r="C621" t="s">
        <v>1</v>
      </c>
      <c r="D621" t="s">
        <v>34</v>
      </c>
      <c r="E621" t="s">
        <v>40</v>
      </c>
      <c r="F621" t="s">
        <v>45</v>
      </c>
      <c r="G621" t="s">
        <v>42</v>
      </c>
      <c r="H621">
        <v>0</v>
      </c>
      <c r="I621">
        <v>0</v>
      </c>
      <c r="J621">
        <v>0</v>
      </c>
      <c r="K621">
        <v>0</v>
      </c>
      <c r="L621">
        <v>0</v>
      </c>
      <c r="M621">
        <v>0</v>
      </c>
      <c r="N621">
        <v>0</v>
      </c>
      <c r="O621">
        <v>0</v>
      </c>
      <c r="Q621">
        <v>42.9</v>
      </c>
    </row>
    <row r="622" spans="1:17">
      <c r="A622" t="s">
        <v>668</v>
      </c>
      <c r="B622" s="8">
        <v>45705</v>
      </c>
      <c r="C622" t="s">
        <v>1</v>
      </c>
      <c r="D622" t="s">
        <v>48</v>
      </c>
      <c r="E622" t="s">
        <v>40</v>
      </c>
      <c r="F622" t="s">
        <v>57</v>
      </c>
      <c r="G622" t="s">
        <v>46</v>
      </c>
      <c r="H622">
        <v>1</v>
      </c>
      <c r="I622">
        <v>0</v>
      </c>
      <c r="J622">
        <v>0</v>
      </c>
      <c r="K622">
        <v>0</v>
      </c>
      <c r="L622">
        <v>0</v>
      </c>
      <c r="M622">
        <v>0</v>
      </c>
      <c r="N622">
        <v>0</v>
      </c>
      <c r="O622">
        <v>0</v>
      </c>
      <c r="Q622">
        <v>51.1</v>
      </c>
    </row>
    <row r="623" spans="1:17">
      <c r="A623" t="s">
        <v>669</v>
      </c>
      <c r="B623" s="8">
        <v>45741</v>
      </c>
      <c r="C623" t="s">
        <v>1</v>
      </c>
      <c r="D623" t="s">
        <v>44</v>
      </c>
      <c r="E623" t="s">
        <v>40</v>
      </c>
      <c r="F623" t="s">
        <v>45</v>
      </c>
      <c r="G623" t="s">
        <v>37</v>
      </c>
      <c r="H623">
        <v>1</v>
      </c>
      <c r="I623">
        <v>1</v>
      </c>
      <c r="J623">
        <v>0</v>
      </c>
      <c r="K623">
        <v>0</v>
      </c>
      <c r="L623">
        <v>0</v>
      </c>
      <c r="M623">
        <v>0</v>
      </c>
      <c r="N623">
        <v>0</v>
      </c>
      <c r="O623">
        <v>0</v>
      </c>
      <c r="Q623">
        <v>51.8</v>
      </c>
    </row>
    <row r="624" spans="1:17">
      <c r="A624" t="s">
        <v>670</v>
      </c>
      <c r="B624" s="8">
        <v>45778</v>
      </c>
      <c r="C624" t="s">
        <v>1</v>
      </c>
      <c r="D624" t="s">
        <v>48</v>
      </c>
      <c r="E624" t="s">
        <v>40</v>
      </c>
      <c r="F624" t="s">
        <v>45</v>
      </c>
      <c r="G624" t="s">
        <v>42</v>
      </c>
      <c r="H624">
        <v>0</v>
      </c>
      <c r="I624">
        <v>0</v>
      </c>
      <c r="J624">
        <v>0</v>
      </c>
      <c r="K624">
        <v>0</v>
      </c>
      <c r="L624">
        <v>0</v>
      </c>
      <c r="M624">
        <v>0</v>
      </c>
      <c r="N624">
        <v>0</v>
      </c>
      <c r="O624">
        <v>0</v>
      </c>
      <c r="Q624">
        <v>67.7</v>
      </c>
    </row>
    <row r="625" spans="1:17">
      <c r="A625" t="s">
        <v>671</v>
      </c>
      <c r="B625" s="8">
        <v>45749</v>
      </c>
      <c r="C625" t="s">
        <v>1</v>
      </c>
      <c r="D625" t="s">
        <v>44</v>
      </c>
      <c r="E625" t="s">
        <v>40</v>
      </c>
      <c r="F625" t="s">
        <v>41</v>
      </c>
      <c r="G625" t="s">
        <v>37</v>
      </c>
      <c r="H625">
        <v>0</v>
      </c>
      <c r="I625">
        <v>0</v>
      </c>
      <c r="J625">
        <v>0</v>
      </c>
      <c r="K625">
        <v>0</v>
      </c>
      <c r="L625">
        <v>0</v>
      </c>
      <c r="M625">
        <v>0</v>
      </c>
      <c r="N625">
        <v>0</v>
      </c>
      <c r="O625">
        <v>0</v>
      </c>
      <c r="Q625">
        <v>75.8</v>
      </c>
    </row>
    <row r="626" spans="1:17">
      <c r="A626" t="s">
        <v>672</v>
      </c>
      <c r="B626" s="8">
        <v>45752</v>
      </c>
      <c r="C626" t="s">
        <v>1</v>
      </c>
      <c r="D626" t="s">
        <v>44</v>
      </c>
      <c r="E626" t="s">
        <v>40</v>
      </c>
      <c r="F626" t="s">
        <v>36</v>
      </c>
      <c r="G626" t="s">
        <v>42</v>
      </c>
      <c r="H626">
        <v>1</v>
      </c>
      <c r="I626">
        <v>1</v>
      </c>
      <c r="J626">
        <v>0</v>
      </c>
      <c r="K626">
        <v>0</v>
      </c>
      <c r="L626">
        <v>0</v>
      </c>
      <c r="M626">
        <v>0</v>
      </c>
      <c r="N626">
        <v>0</v>
      </c>
      <c r="O626">
        <v>0</v>
      </c>
      <c r="Q626">
        <v>72.8</v>
      </c>
    </row>
    <row r="627" spans="1:17">
      <c r="A627" t="s">
        <v>673</v>
      </c>
      <c r="B627" s="8">
        <v>45712</v>
      </c>
      <c r="C627" t="s">
        <v>1</v>
      </c>
      <c r="D627" t="s">
        <v>34</v>
      </c>
      <c r="E627" t="s">
        <v>35</v>
      </c>
      <c r="F627" t="s">
        <v>57</v>
      </c>
      <c r="G627" t="s">
        <v>42</v>
      </c>
      <c r="H627">
        <v>1</v>
      </c>
      <c r="I627">
        <v>1</v>
      </c>
      <c r="J627">
        <v>0</v>
      </c>
      <c r="K627">
        <v>0</v>
      </c>
      <c r="L627">
        <v>0</v>
      </c>
      <c r="M627">
        <v>0</v>
      </c>
      <c r="N627">
        <v>0</v>
      </c>
      <c r="O627">
        <v>0</v>
      </c>
      <c r="Q627">
        <v>54.4</v>
      </c>
    </row>
    <row r="628" spans="1:17">
      <c r="A628" t="s">
        <v>674</v>
      </c>
      <c r="B628" s="8">
        <v>45681</v>
      </c>
      <c r="C628" t="s">
        <v>1</v>
      </c>
      <c r="D628" t="s">
        <v>39</v>
      </c>
      <c r="E628" t="s">
        <v>40</v>
      </c>
      <c r="F628" t="s">
        <v>45</v>
      </c>
      <c r="G628" t="s">
        <v>37</v>
      </c>
      <c r="H628">
        <v>1</v>
      </c>
      <c r="I628">
        <v>0</v>
      </c>
      <c r="J628">
        <v>0</v>
      </c>
      <c r="K628">
        <v>0</v>
      </c>
      <c r="L628">
        <v>0</v>
      </c>
      <c r="M628">
        <v>0</v>
      </c>
      <c r="N628">
        <v>0</v>
      </c>
      <c r="O628">
        <v>0</v>
      </c>
      <c r="Q628">
        <v>51.8</v>
      </c>
    </row>
    <row r="629" spans="1:17">
      <c r="A629" t="s">
        <v>675</v>
      </c>
      <c r="B629" s="8">
        <v>45757</v>
      </c>
      <c r="C629" t="s">
        <v>1</v>
      </c>
      <c r="D629" t="s">
        <v>48</v>
      </c>
      <c r="E629" t="s">
        <v>40</v>
      </c>
      <c r="F629" t="s">
        <v>45</v>
      </c>
      <c r="G629" t="s">
        <v>42</v>
      </c>
      <c r="H629">
        <v>0</v>
      </c>
      <c r="I629">
        <v>0</v>
      </c>
      <c r="J629">
        <v>0</v>
      </c>
      <c r="K629">
        <v>0</v>
      </c>
      <c r="L629">
        <v>0</v>
      </c>
      <c r="M629">
        <v>0</v>
      </c>
      <c r="N629">
        <v>0</v>
      </c>
      <c r="O629">
        <v>0</v>
      </c>
      <c r="Q629">
        <v>40.299999999999997</v>
      </c>
    </row>
    <row r="630" spans="1:17">
      <c r="A630" t="s">
        <v>676</v>
      </c>
      <c r="B630" s="8">
        <v>45707</v>
      </c>
      <c r="C630" t="s">
        <v>1</v>
      </c>
      <c r="D630" t="s">
        <v>48</v>
      </c>
      <c r="E630" t="s">
        <v>40</v>
      </c>
      <c r="F630" t="s">
        <v>55</v>
      </c>
      <c r="G630" t="s">
        <v>42</v>
      </c>
      <c r="H630">
        <v>1</v>
      </c>
      <c r="I630">
        <v>1</v>
      </c>
      <c r="J630">
        <v>1</v>
      </c>
      <c r="K630">
        <v>0</v>
      </c>
      <c r="L630">
        <v>0</v>
      </c>
      <c r="M630">
        <v>0</v>
      </c>
      <c r="N630">
        <v>0</v>
      </c>
      <c r="O630">
        <v>0</v>
      </c>
      <c r="Q630">
        <v>61.7</v>
      </c>
    </row>
    <row r="631" spans="1:17">
      <c r="A631" t="s">
        <v>677</v>
      </c>
      <c r="B631" s="8">
        <v>45738</v>
      </c>
      <c r="C631" t="s">
        <v>1</v>
      </c>
      <c r="D631" t="s">
        <v>34</v>
      </c>
      <c r="E631" t="s">
        <v>40</v>
      </c>
      <c r="F631" t="s">
        <v>57</v>
      </c>
      <c r="G631" t="s">
        <v>42</v>
      </c>
      <c r="H631">
        <v>0</v>
      </c>
      <c r="I631">
        <v>0</v>
      </c>
      <c r="J631">
        <v>0</v>
      </c>
      <c r="K631">
        <v>0</v>
      </c>
      <c r="L631">
        <v>0</v>
      </c>
      <c r="M631">
        <v>0</v>
      </c>
      <c r="N631">
        <v>0</v>
      </c>
      <c r="O631">
        <v>0</v>
      </c>
      <c r="Q631">
        <v>45</v>
      </c>
    </row>
    <row r="632" spans="1:17">
      <c r="A632" t="s">
        <v>678</v>
      </c>
      <c r="B632" s="8">
        <v>45755</v>
      </c>
      <c r="C632" t="s">
        <v>1</v>
      </c>
      <c r="D632" t="s">
        <v>44</v>
      </c>
      <c r="E632" t="s">
        <v>35</v>
      </c>
      <c r="F632" t="s">
        <v>41</v>
      </c>
      <c r="G632" t="s">
        <v>46</v>
      </c>
      <c r="H632">
        <v>1</v>
      </c>
      <c r="I632">
        <v>1</v>
      </c>
      <c r="J632">
        <v>1</v>
      </c>
      <c r="K632">
        <v>0</v>
      </c>
      <c r="L632">
        <v>0</v>
      </c>
      <c r="M632">
        <v>0</v>
      </c>
      <c r="N632">
        <v>0</v>
      </c>
      <c r="O632">
        <v>0</v>
      </c>
      <c r="Q632">
        <v>60</v>
      </c>
    </row>
    <row r="633" spans="1:17">
      <c r="A633" t="s">
        <v>679</v>
      </c>
      <c r="B633" s="8">
        <v>45732</v>
      </c>
      <c r="C633" t="s">
        <v>1</v>
      </c>
      <c r="D633" t="s">
        <v>34</v>
      </c>
      <c r="E633" t="s">
        <v>40</v>
      </c>
      <c r="F633" t="s">
        <v>57</v>
      </c>
      <c r="G633" t="s">
        <v>42</v>
      </c>
      <c r="H633">
        <v>1</v>
      </c>
      <c r="I633">
        <v>0</v>
      </c>
      <c r="J633">
        <v>0</v>
      </c>
      <c r="K633">
        <v>0</v>
      </c>
      <c r="L633">
        <v>0</v>
      </c>
      <c r="M633">
        <v>0</v>
      </c>
      <c r="N633">
        <v>0</v>
      </c>
      <c r="O633">
        <v>0</v>
      </c>
    </row>
    <row r="634" spans="1:17">
      <c r="A634" t="s">
        <v>680</v>
      </c>
      <c r="B634" s="8">
        <v>45723</v>
      </c>
      <c r="C634" t="s">
        <v>1</v>
      </c>
      <c r="D634" t="s">
        <v>44</v>
      </c>
      <c r="E634" t="s">
        <v>40</v>
      </c>
      <c r="F634" t="s">
        <v>45</v>
      </c>
      <c r="G634" t="s">
        <v>42</v>
      </c>
      <c r="H634">
        <v>1</v>
      </c>
      <c r="I634">
        <v>0</v>
      </c>
      <c r="J634">
        <v>0</v>
      </c>
      <c r="K634">
        <v>0</v>
      </c>
      <c r="L634">
        <v>0</v>
      </c>
      <c r="M634">
        <v>0</v>
      </c>
      <c r="N634">
        <v>0</v>
      </c>
      <c r="O634">
        <v>0</v>
      </c>
      <c r="Q634">
        <v>55.5</v>
      </c>
    </row>
    <row r="635" spans="1:17">
      <c r="A635" t="s">
        <v>681</v>
      </c>
      <c r="B635" s="8">
        <v>45732</v>
      </c>
      <c r="C635" t="s">
        <v>1</v>
      </c>
      <c r="D635" t="s">
        <v>48</v>
      </c>
      <c r="E635" t="s">
        <v>40</v>
      </c>
      <c r="F635" t="s">
        <v>55</v>
      </c>
      <c r="G635" t="s">
        <v>37</v>
      </c>
      <c r="H635">
        <v>0</v>
      </c>
      <c r="I635">
        <v>0</v>
      </c>
      <c r="J635">
        <v>0</v>
      </c>
      <c r="K635">
        <v>0</v>
      </c>
      <c r="L635">
        <v>0</v>
      </c>
      <c r="M635">
        <v>0</v>
      </c>
      <c r="N635">
        <v>0</v>
      </c>
      <c r="O635">
        <v>0</v>
      </c>
      <c r="Q635">
        <v>51.8</v>
      </c>
    </row>
    <row r="636" spans="1:17">
      <c r="A636" t="s">
        <v>682</v>
      </c>
      <c r="B636" s="8">
        <v>45803</v>
      </c>
      <c r="C636" t="s">
        <v>1</v>
      </c>
      <c r="D636" t="s">
        <v>44</v>
      </c>
      <c r="E636" t="s">
        <v>40</v>
      </c>
      <c r="G636" t="s">
        <v>46</v>
      </c>
      <c r="H636">
        <v>1</v>
      </c>
      <c r="I636">
        <v>0</v>
      </c>
      <c r="J636">
        <v>0</v>
      </c>
      <c r="K636">
        <v>0</v>
      </c>
      <c r="L636">
        <v>0</v>
      </c>
      <c r="M636">
        <v>3</v>
      </c>
      <c r="N636">
        <v>1</v>
      </c>
      <c r="O636">
        <v>0</v>
      </c>
      <c r="Q636">
        <v>56</v>
      </c>
    </row>
    <row r="637" spans="1:17">
      <c r="A637" t="s">
        <v>683</v>
      </c>
      <c r="B637" s="8">
        <v>45671</v>
      </c>
      <c r="C637" t="s">
        <v>1</v>
      </c>
      <c r="D637" t="s">
        <v>39</v>
      </c>
      <c r="E637" t="s">
        <v>40</v>
      </c>
      <c r="F637" t="s">
        <v>41</v>
      </c>
      <c r="G637" t="s">
        <v>42</v>
      </c>
      <c r="H637">
        <v>0</v>
      </c>
      <c r="I637">
        <v>0</v>
      </c>
      <c r="J637">
        <v>0</v>
      </c>
      <c r="K637">
        <v>0</v>
      </c>
      <c r="L637">
        <v>0</v>
      </c>
      <c r="M637">
        <v>0</v>
      </c>
      <c r="N637">
        <v>0</v>
      </c>
      <c r="O637">
        <v>0</v>
      </c>
      <c r="Q637">
        <v>52.5</v>
      </c>
    </row>
    <row r="638" spans="1:17">
      <c r="A638" t="s">
        <v>684</v>
      </c>
      <c r="B638" s="8">
        <v>45746</v>
      </c>
      <c r="C638" t="s">
        <v>1</v>
      </c>
      <c r="D638" t="s">
        <v>39</v>
      </c>
      <c r="E638" t="s">
        <v>40</v>
      </c>
      <c r="F638" t="s">
        <v>45</v>
      </c>
      <c r="G638" t="s">
        <v>46</v>
      </c>
      <c r="H638">
        <v>1</v>
      </c>
      <c r="I638">
        <v>0</v>
      </c>
      <c r="J638">
        <v>0</v>
      </c>
      <c r="K638">
        <v>0</v>
      </c>
      <c r="L638">
        <v>0</v>
      </c>
      <c r="M638">
        <v>0</v>
      </c>
      <c r="N638">
        <v>0</v>
      </c>
      <c r="O638">
        <v>0</v>
      </c>
      <c r="Q638">
        <v>42.5</v>
      </c>
    </row>
    <row r="639" spans="1:17">
      <c r="A639" t="s">
        <v>685</v>
      </c>
      <c r="B639" s="8">
        <v>45789</v>
      </c>
      <c r="C639" t="s">
        <v>1</v>
      </c>
      <c r="D639" t="s">
        <v>44</v>
      </c>
      <c r="E639" t="s">
        <v>35</v>
      </c>
      <c r="F639" t="s">
        <v>36</v>
      </c>
      <c r="G639" t="s">
        <v>42</v>
      </c>
      <c r="H639">
        <v>1</v>
      </c>
      <c r="I639">
        <v>1</v>
      </c>
      <c r="J639">
        <v>1</v>
      </c>
      <c r="K639">
        <v>0</v>
      </c>
      <c r="L639">
        <v>0</v>
      </c>
      <c r="M639">
        <v>0</v>
      </c>
      <c r="N639">
        <v>0</v>
      </c>
      <c r="O639">
        <v>0</v>
      </c>
      <c r="Q639">
        <v>65.3</v>
      </c>
    </row>
    <row r="640" spans="1:17">
      <c r="A640" t="s">
        <v>686</v>
      </c>
      <c r="B640" s="8">
        <v>45787</v>
      </c>
      <c r="C640" t="s">
        <v>1</v>
      </c>
      <c r="D640" t="s">
        <v>39</v>
      </c>
      <c r="E640" t="s">
        <v>40</v>
      </c>
      <c r="F640" t="s">
        <v>45</v>
      </c>
      <c r="G640" t="s">
        <v>42</v>
      </c>
      <c r="H640">
        <v>0</v>
      </c>
      <c r="I640">
        <v>0</v>
      </c>
      <c r="J640">
        <v>0</v>
      </c>
      <c r="K640">
        <v>0</v>
      </c>
      <c r="L640">
        <v>0</v>
      </c>
      <c r="M640">
        <v>0</v>
      </c>
      <c r="N640">
        <v>0</v>
      </c>
      <c r="O640">
        <v>0</v>
      </c>
      <c r="Q640">
        <v>37.6</v>
      </c>
    </row>
    <row r="641" spans="1:17">
      <c r="A641" t="s">
        <v>687</v>
      </c>
      <c r="B641" s="8">
        <v>45756</v>
      </c>
      <c r="C641" t="s">
        <v>1</v>
      </c>
      <c r="D641" t="s">
        <v>44</v>
      </c>
      <c r="E641" t="s">
        <v>40</v>
      </c>
      <c r="F641" t="s">
        <v>57</v>
      </c>
      <c r="G641" t="s">
        <v>37</v>
      </c>
      <c r="H641">
        <v>0</v>
      </c>
      <c r="I641">
        <v>0</v>
      </c>
      <c r="J641">
        <v>0</v>
      </c>
      <c r="K641">
        <v>0</v>
      </c>
      <c r="L641">
        <v>0</v>
      </c>
      <c r="M641">
        <v>0</v>
      </c>
      <c r="N641">
        <v>0</v>
      </c>
      <c r="O641">
        <v>0</v>
      </c>
      <c r="Q641">
        <v>57.8</v>
      </c>
    </row>
    <row r="642" spans="1:17">
      <c r="A642" t="s">
        <v>688</v>
      </c>
      <c r="B642" s="8">
        <v>45803</v>
      </c>
      <c r="C642" t="s">
        <v>1</v>
      </c>
      <c r="D642" t="s">
        <v>34</v>
      </c>
      <c r="E642" t="s">
        <v>40</v>
      </c>
      <c r="F642" t="s">
        <v>57</v>
      </c>
      <c r="G642" t="s">
        <v>42</v>
      </c>
      <c r="H642">
        <v>1</v>
      </c>
      <c r="I642">
        <v>0</v>
      </c>
      <c r="J642">
        <v>0</v>
      </c>
      <c r="K642">
        <v>0</v>
      </c>
      <c r="L642">
        <v>0</v>
      </c>
      <c r="M642">
        <v>0</v>
      </c>
      <c r="N642">
        <v>0</v>
      </c>
      <c r="O642">
        <v>0</v>
      </c>
      <c r="Q642">
        <v>52.7</v>
      </c>
    </row>
    <row r="643" spans="1:17">
      <c r="A643" t="s">
        <v>689</v>
      </c>
      <c r="B643" s="8">
        <v>45700</v>
      </c>
      <c r="C643" t="s">
        <v>1</v>
      </c>
      <c r="D643" t="s">
        <v>34</v>
      </c>
      <c r="E643" t="s">
        <v>40</v>
      </c>
      <c r="F643" t="s">
        <v>41</v>
      </c>
      <c r="G643" t="s">
        <v>42</v>
      </c>
      <c r="H643">
        <v>1</v>
      </c>
      <c r="I643">
        <v>0</v>
      </c>
      <c r="J643">
        <v>0</v>
      </c>
      <c r="K643">
        <v>0</v>
      </c>
      <c r="L643">
        <v>0</v>
      </c>
      <c r="M643">
        <v>0</v>
      </c>
      <c r="N643">
        <v>0</v>
      </c>
      <c r="O643">
        <v>0</v>
      </c>
      <c r="Q643">
        <v>51.7</v>
      </c>
    </row>
    <row r="644" spans="1:17">
      <c r="A644" t="s">
        <v>690</v>
      </c>
      <c r="B644" s="8">
        <v>45748</v>
      </c>
      <c r="C644" t="s">
        <v>1</v>
      </c>
      <c r="D644" t="s">
        <v>34</v>
      </c>
      <c r="E644" t="s">
        <v>35</v>
      </c>
      <c r="F644" t="s">
        <v>36</v>
      </c>
      <c r="G644" t="s">
        <v>37</v>
      </c>
      <c r="H644">
        <v>0</v>
      </c>
      <c r="I644">
        <v>0</v>
      </c>
      <c r="J644">
        <v>0</v>
      </c>
      <c r="K644">
        <v>0</v>
      </c>
      <c r="L644">
        <v>0</v>
      </c>
      <c r="M644">
        <v>0</v>
      </c>
      <c r="N644">
        <v>0</v>
      </c>
      <c r="O644">
        <v>0</v>
      </c>
      <c r="Q644">
        <v>57</v>
      </c>
    </row>
    <row r="645" spans="1:17">
      <c r="A645" t="s">
        <v>691</v>
      </c>
      <c r="B645" s="8">
        <v>45675</v>
      </c>
      <c r="C645" t="s">
        <v>1</v>
      </c>
      <c r="D645" t="s">
        <v>48</v>
      </c>
      <c r="E645" t="s">
        <v>35</v>
      </c>
      <c r="F645" t="s">
        <v>41</v>
      </c>
      <c r="G645" t="s">
        <v>37</v>
      </c>
      <c r="H645">
        <v>0</v>
      </c>
      <c r="I645">
        <v>0</v>
      </c>
      <c r="J645">
        <v>0</v>
      </c>
      <c r="K645">
        <v>0</v>
      </c>
      <c r="L645">
        <v>0</v>
      </c>
      <c r="M645">
        <v>0</v>
      </c>
      <c r="N645">
        <v>0</v>
      </c>
      <c r="O645">
        <v>0</v>
      </c>
      <c r="Q645">
        <v>39.5</v>
      </c>
    </row>
    <row r="646" spans="1:17">
      <c r="A646" t="s">
        <v>692</v>
      </c>
      <c r="B646" s="8">
        <v>45753</v>
      </c>
      <c r="C646" t="s">
        <v>1</v>
      </c>
      <c r="D646" t="s">
        <v>44</v>
      </c>
      <c r="E646" t="s">
        <v>50</v>
      </c>
      <c r="F646" t="s">
        <v>41</v>
      </c>
      <c r="G646" t="s">
        <v>42</v>
      </c>
      <c r="H646">
        <v>1</v>
      </c>
      <c r="I646">
        <v>0</v>
      </c>
      <c r="J646">
        <v>0</v>
      </c>
      <c r="K646">
        <v>0</v>
      </c>
      <c r="L646">
        <v>0</v>
      </c>
      <c r="M646">
        <v>0</v>
      </c>
      <c r="N646">
        <v>0</v>
      </c>
      <c r="O646">
        <v>0</v>
      </c>
      <c r="Q646">
        <v>76.5</v>
      </c>
    </row>
    <row r="647" spans="1:17">
      <c r="A647" t="s">
        <v>693</v>
      </c>
      <c r="B647" s="8">
        <v>45764</v>
      </c>
      <c r="C647" t="s">
        <v>1</v>
      </c>
      <c r="D647" t="s">
        <v>44</v>
      </c>
      <c r="E647" t="s">
        <v>40</v>
      </c>
      <c r="F647" t="s">
        <v>41</v>
      </c>
      <c r="G647" t="s">
        <v>42</v>
      </c>
      <c r="H647">
        <v>1</v>
      </c>
      <c r="I647">
        <v>0</v>
      </c>
      <c r="J647">
        <v>0</v>
      </c>
      <c r="K647">
        <v>0</v>
      </c>
      <c r="L647">
        <v>0</v>
      </c>
      <c r="M647">
        <v>0</v>
      </c>
      <c r="N647">
        <v>0</v>
      </c>
      <c r="O647">
        <v>0</v>
      </c>
      <c r="Q647">
        <v>32.4</v>
      </c>
    </row>
    <row r="648" spans="1:17">
      <c r="A648" t="s">
        <v>694</v>
      </c>
      <c r="B648" s="8">
        <v>45695</v>
      </c>
      <c r="C648" t="s">
        <v>1</v>
      </c>
      <c r="D648" t="s">
        <v>34</v>
      </c>
      <c r="E648" t="s">
        <v>35</v>
      </c>
      <c r="F648" t="s">
        <v>45</v>
      </c>
      <c r="G648" t="s">
        <v>42</v>
      </c>
      <c r="H648">
        <v>0</v>
      </c>
      <c r="I648">
        <v>0</v>
      </c>
      <c r="J648">
        <v>0</v>
      </c>
      <c r="K648">
        <v>0</v>
      </c>
      <c r="L648">
        <v>0</v>
      </c>
      <c r="M648">
        <v>0</v>
      </c>
      <c r="N648">
        <v>0</v>
      </c>
      <c r="O648">
        <v>0</v>
      </c>
      <c r="Q648">
        <v>58.6</v>
      </c>
    </row>
    <row r="649" spans="1:17">
      <c r="A649" t="s">
        <v>695</v>
      </c>
      <c r="B649" s="8">
        <v>45720</v>
      </c>
      <c r="C649" t="s">
        <v>1</v>
      </c>
      <c r="D649" t="s">
        <v>44</v>
      </c>
      <c r="E649" t="s">
        <v>40</v>
      </c>
      <c r="F649" t="s">
        <v>41</v>
      </c>
      <c r="G649" t="s">
        <v>37</v>
      </c>
      <c r="H649">
        <v>1</v>
      </c>
      <c r="I649">
        <v>0</v>
      </c>
      <c r="J649">
        <v>0</v>
      </c>
      <c r="K649">
        <v>0</v>
      </c>
      <c r="L649">
        <v>0</v>
      </c>
      <c r="M649">
        <v>0</v>
      </c>
      <c r="N649">
        <v>0</v>
      </c>
      <c r="O649">
        <v>0</v>
      </c>
      <c r="Q649">
        <v>78.599999999999994</v>
      </c>
    </row>
    <row r="650" spans="1:17">
      <c r="A650" t="s">
        <v>696</v>
      </c>
      <c r="B650" s="8">
        <v>45705</v>
      </c>
      <c r="C650" t="s">
        <v>1</v>
      </c>
      <c r="D650" t="s">
        <v>34</v>
      </c>
      <c r="E650" t="s">
        <v>35</v>
      </c>
      <c r="F650" t="s">
        <v>41</v>
      </c>
      <c r="G650" t="s">
        <v>46</v>
      </c>
      <c r="H650">
        <v>0</v>
      </c>
      <c r="I650">
        <v>0</v>
      </c>
      <c r="J650">
        <v>0</v>
      </c>
      <c r="K650">
        <v>0</v>
      </c>
      <c r="L650">
        <v>0</v>
      </c>
      <c r="M650">
        <v>0</v>
      </c>
      <c r="N650">
        <v>0</v>
      </c>
      <c r="O650">
        <v>0</v>
      </c>
      <c r="Q650">
        <v>54.5</v>
      </c>
    </row>
    <row r="651" spans="1:17">
      <c r="A651" t="s">
        <v>697</v>
      </c>
      <c r="B651" s="8">
        <v>45783</v>
      </c>
      <c r="C651" t="s">
        <v>1</v>
      </c>
      <c r="D651" t="s">
        <v>48</v>
      </c>
      <c r="E651" t="s">
        <v>40</v>
      </c>
      <c r="F651" t="s">
        <v>55</v>
      </c>
      <c r="G651" t="s">
        <v>42</v>
      </c>
      <c r="H651">
        <v>1</v>
      </c>
      <c r="I651">
        <v>0</v>
      </c>
      <c r="J651">
        <v>0</v>
      </c>
      <c r="K651">
        <v>0</v>
      </c>
      <c r="L651">
        <v>0</v>
      </c>
      <c r="M651">
        <v>0</v>
      </c>
      <c r="N651">
        <v>0</v>
      </c>
      <c r="O651">
        <v>0</v>
      </c>
      <c r="Q651">
        <v>57.6</v>
      </c>
    </row>
    <row r="652" spans="1:17">
      <c r="A652" t="s">
        <v>698</v>
      </c>
      <c r="B652" s="8">
        <v>45741</v>
      </c>
      <c r="C652" t="s">
        <v>1</v>
      </c>
      <c r="D652" t="s">
        <v>48</v>
      </c>
      <c r="E652" t="s">
        <v>40</v>
      </c>
      <c r="F652" t="s">
        <v>55</v>
      </c>
      <c r="G652" t="s">
        <v>46</v>
      </c>
      <c r="H652">
        <v>0</v>
      </c>
      <c r="I652">
        <v>0</v>
      </c>
      <c r="J652">
        <v>0</v>
      </c>
      <c r="K652">
        <v>0</v>
      </c>
      <c r="L652">
        <v>0</v>
      </c>
      <c r="M652">
        <v>0</v>
      </c>
      <c r="N652">
        <v>0</v>
      </c>
      <c r="O652">
        <v>0</v>
      </c>
      <c r="Q652">
        <v>52.8</v>
      </c>
    </row>
    <row r="653" spans="1:17">
      <c r="A653" t="s">
        <v>699</v>
      </c>
      <c r="B653" s="8">
        <v>45720</v>
      </c>
      <c r="C653" t="s">
        <v>1</v>
      </c>
      <c r="D653" t="s">
        <v>39</v>
      </c>
      <c r="E653" t="s">
        <v>40</v>
      </c>
      <c r="F653" t="s">
        <v>36</v>
      </c>
      <c r="G653" t="s">
        <v>46</v>
      </c>
      <c r="H653">
        <v>1</v>
      </c>
      <c r="I653">
        <v>0</v>
      </c>
      <c r="J653">
        <v>0</v>
      </c>
      <c r="K653">
        <v>0</v>
      </c>
      <c r="L653">
        <v>0</v>
      </c>
      <c r="M653">
        <v>0</v>
      </c>
      <c r="N653">
        <v>0</v>
      </c>
      <c r="O653">
        <v>0</v>
      </c>
      <c r="Q653">
        <v>52.9</v>
      </c>
    </row>
    <row r="654" spans="1:17">
      <c r="A654" t="s">
        <v>700</v>
      </c>
      <c r="B654" s="8">
        <v>45786</v>
      </c>
      <c r="C654" t="s">
        <v>1</v>
      </c>
      <c r="D654" t="s">
        <v>39</v>
      </c>
      <c r="E654" t="s">
        <v>40</v>
      </c>
      <c r="F654" t="s">
        <v>41</v>
      </c>
      <c r="G654" t="s">
        <v>42</v>
      </c>
      <c r="H654">
        <v>1</v>
      </c>
      <c r="I654">
        <v>0</v>
      </c>
      <c r="J654">
        <v>0</v>
      </c>
      <c r="K654">
        <v>0</v>
      </c>
      <c r="L654">
        <v>0</v>
      </c>
      <c r="M654">
        <v>1</v>
      </c>
      <c r="N654">
        <v>1</v>
      </c>
      <c r="O654">
        <v>0</v>
      </c>
      <c r="Q654">
        <v>55.9</v>
      </c>
    </row>
    <row r="655" spans="1:17">
      <c r="A655" t="s">
        <v>701</v>
      </c>
      <c r="B655" s="8">
        <v>45794</v>
      </c>
      <c r="C655" t="s">
        <v>1</v>
      </c>
      <c r="D655" t="s">
        <v>39</v>
      </c>
      <c r="E655" t="s">
        <v>40</v>
      </c>
      <c r="F655" t="s">
        <v>55</v>
      </c>
      <c r="G655" t="s">
        <v>46</v>
      </c>
      <c r="H655">
        <v>1</v>
      </c>
      <c r="I655">
        <v>0</v>
      </c>
      <c r="J655">
        <v>0</v>
      </c>
      <c r="K655">
        <v>0</v>
      </c>
      <c r="L655">
        <v>0</v>
      </c>
      <c r="M655">
        <v>0</v>
      </c>
      <c r="N655">
        <v>0</v>
      </c>
      <c r="O655">
        <v>0</v>
      </c>
      <c r="Q655">
        <v>74.2</v>
      </c>
    </row>
    <row r="656" spans="1:17">
      <c r="A656" t="s">
        <v>702</v>
      </c>
      <c r="B656" s="8">
        <v>45669</v>
      </c>
      <c r="C656" t="s">
        <v>1</v>
      </c>
      <c r="D656" t="s">
        <v>39</v>
      </c>
      <c r="E656" t="s">
        <v>40</v>
      </c>
      <c r="F656" t="s">
        <v>41</v>
      </c>
      <c r="G656" t="s">
        <v>42</v>
      </c>
      <c r="H656">
        <v>0</v>
      </c>
      <c r="I656">
        <v>0</v>
      </c>
      <c r="J656">
        <v>0</v>
      </c>
      <c r="K656">
        <v>0</v>
      </c>
      <c r="L656">
        <v>0</v>
      </c>
      <c r="M656">
        <v>0</v>
      </c>
      <c r="N656">
        <v>0</v>
      </c>
      <c r="O656">
        <v>0</v>
      </c>
      <c r="Q656">
        <v>46.3</v>
      </c>
    </row>
    <row r="657" spans="1:17">
      <c r="A657" t="s">
        <v>703</v>
      </c>
      <c r="B657" s="8">
        <v>45728</v>
      </c>
      <c r="C657" t="s">
        <v>1</v>
      </c>
      <c r="D657" t="s">
        <v>39</v>
      </c>
      <c r="E657" t="s">
        <v>40</v>
      </c>
      <c r="F657" t="s">
        <v>41</v>
      </c>
      <c r="G657" t="s">
        <v>46</v>
      </c>
      <c r="H657">
        <v>1</v>
      </c>
      <c r="I657">
        <v>0</v>
      </c>
      <c r="J657">
        <v>0</v>
      </c>
      <c r="K657">
        <v>0</v>
      </c>
      <c r="L657">
        <v>0</v>
      </c>
      <c r="M657">
        <v>0</v>
      </c>
      <c r="N657">
        <v>0</v>
      </c>
      <c r="O657">
        <v>0</v>
      </c>
      <c r="Q657">
        <v>62</v>
      </c>
    </row>
    <row r="658" spans="1:17">
      <c r="A658" t="s">
        <v>704</v>
      </c>
      <c r="B658" s="8">
        <v>45749</v>
      </c>
      <c r="C658" t="s">
        <v>1</v>
      </c>
      <c r="D658" t="s">
        <v>48</v>
      </c>
      <c r="E658" t="s">
        <v>40</v>
      </c>
      <c r="F658" t="s">
        <v>41</v>
      </c>
      <c r="G658" t="s">
        <v>37</v>
      </c>
      <c r="H658">
        <v>0</v>
      </c>
      <c r="I658">
        <v>0</v>
      </c>
      <c r="J658">
        <v>0</v>
      </c>
      <c r="K658">
        <v>0</v>
      </c>
      <c r="L658">
        <v>0</v>
      </c>
      <c r="M658">
        <v>0</v>
      </c>
      <c r="N658">
        <v>0</v>
      </c>
      <c r="O658">
        <v>0</v>
      </c>
      <c r="Q658">
        <v>55.6</v>
      </c>
    </row>
    <row r="659" spans="1:17">
      <c r="A659" t="s">
        <v>705</v>
      </c>
      <c r="B659" s="8">
        <v>45670</v>
      </c>
      <c r="C659" t="s">
        <v>1</v>
      </c>
      <c r="D659" t="s">
        <v>48</v>
      </c>
      <c r="E659" t="s">
        <v>40</v>
      </c>
      <c r="F659" t="s">
        <v>41</v>
      </c>
      <c r="G659" t="s">
        <v>37</v>
      </c>
      <c r="H659">
        <v>1</v>
      </c>
      <c r="I659">
        <v>0</v>
      </c>
      <c r="J659">
        <v>0</v>
      </c>
      <c r="K659">
        <v>0</v>
      </c>
      <c r="L659">
        <v>0</v>
      </c>
      <c r="M659">
        <v>0</v>
      </c>
      <c r="N659">
        <v>0</v>
      </c>
      <c r="O659">
        <v>0</v>
      </c>
      <c r="Q659">
        <v>62.8</v>
      </c>
    </row>
    <row r="660" spans="1:17">
      <c r="A660" t="s">
        <v>706</v>
      </c>
      <c r="B660" s="8">
        <v>45723</v>
      </c>
      <c r="C660" t="s">
        <v>1</v>
      </c>
      <c r="D660" t="s">
        <v>44</v>
      </c>
      <c r="E660" t="s">
        <v>40</v>
      </c>
      <c r="F660" t="s">
        <v>55</v>
      </c>
      <c r="G660" t="s">
        <v>42</v>
      </c>
      <c r="H660">
        <v>0</v>
      </c>
      <c r="I660">
        <v>0</v>
      </c>
      <c r="J660">
        <v>0</v>
      </c>
      <c r="K660">
        <v>0</v>
      </c>
      <c r="L660">
        <v>0</v>
      </c>
      <c r="M660">
        <v>0</v>
      </c>
      <c r="N660">
        <v>0</v>
      </c>
      <c r="O660">
        <v>0</v>
      </c>
      <c r="Q660">
        <v>73.099999999999994</v>
      </c>
    </row>
    <row r="661" spans="1:17">
      <c r="A661" t="s">
        <v>707</v>
      </c>
      <c r="B661" s="8">
        <v>45767</v>
      </c>
      <c r="C661" t="s">
        <v>1</v>
      </c>
      <c r="D661" t="s">
        <v>48</v>
      </c>
      <c r="E661" t="s">
        <v>35</v>
      </c>
      <c r="F661" t="s">
        <v>57</v>
      </c>
      <c r="G661" t="s">
        <v>42</v>
      </c>
      <c r="H661">
        <v>1</v>
      </c>
      <c r="I661">
        <v>1</v>
      </c>
      <c r="J661">
        <v>1</v>
      </c>
      <c r="K661">
        <v>1</v>
      </c>
      <c r="L661">
        <v>347.52</v>
      </c>
      <c r="M661">
        <v>0</v>
      </c>
      <c r="N661">
        <v>0</v>
      </c>
      <c r="O661">
        <v>0</v>
      </c>
      <c r="P661">
        <v>2</v>
      </c>
      <c r="Q661">
        <v>57.2</v>
      </c>
    </row>
    <row r="662" spans="1:17">
      <c r="A662" t="s">
        <v>708</v>
      </c>
      <c r="B662" s="8">
        <v>45664</v>
      </c>
      <c r="C662" t="s">
        <v>1</v>
      </c>
      <c r="D662" t="s">
        <v>48</v>
      </c>
      <c r="E662" t="s">
        <v>40</v>
      </c>
      <c r="F662" t="s">
        <v>45</v>
      </c>
      <c r="G662" t="s">
        <v>42</v>
      </c>
      <c r="H662">
        <v>1</v>
      </c>
      <c r="I662">
        <v>0</v>
      </c>
      <c r="J662">
        <v>0</v>
      </c>
      <c r="K662">
        <v>0</v>
      </c>
      <c r="L662">
        <v>0</v>
      </c>
      <c r="M662">
        <v>0</v>
      </c>
      <c r="N662">
        <v>0</v>
      </c>
      <c r="O662">
        <v>0</v>
      </c>
      <c r="Q662">
        <v>67.900000000000006</v>
      </c>
    </row>
    <row r="663" spans="1:17">
      <c r="A663" t="s">
        <v>709</v>
      </c>
      <c r="B663" s="8">
        <v>45770</v>
      </c>
      <c r="C663" t="s">
        <v>1</v>
      </c>
      <c r="D663" t="s">
        <v>48</v>
      </c>
      <c r="E663" t="s">
        <v>40</v>
      </c>
      <c r="F663" t="s">
        <v>55</v>
      </c>
      <c r="G663" t="s">
        <v>42</v>
      </c>
      <c r="H663">
        <v>0</v>
      </c>
      <c r="I663">
        <v>0</v>
      </c>
      <c r="J663">
        <v>0</v>
      </c>
      <c r="K663">
        <v>0</v>
      </c>
      <c r="L663">
        <v>0</v>
      </c>
      <c r="M663">
        <v>0</v>
      </c>
      <c r="N663">
        <v>0</v>
      </c>
      <c r="O663">
        <v>0</v>
      </c>
      <c r="Q663">
        <v>50.1</v>
      </c>
    </row>
    <row r="664" spans="1:17">
      <c r="A664" t="s">
        <v>710</v>
      </c>
      <c r="B664" s="8">
        <v>45803</v>
      </c>
      <c r="C664" t="s">
        <v>1</v>
      </c>
      <c r="D664" t="s">
        <v>34</v>
      </c>
      <c r="E664" t="s">
        <v>40</v>
      </c>
      <c r="F664" t="s">
        <v>45</v>
      </c>
      <c r="G664" t="s">
        <v>37</v>
      </c>
      <c r="H664">
        <v>0</v>
      </c>
      <c r="I664">
        <v>0</v>
      </c>
      <c r="J664">
        <v>0</v>
      </c>
      <c r="K664">
        <v>0</v>
      </c>
      <c r="L664">
        <v>0</v>
      </c>
      <c r="M664">
        <v>0</v>
      </c>
      <c r="N664">
        <v>0</v>
      </c>
      <c r="O664">
        <v>0</v>
      </c>
      <c r="Q664">
        <v>67.8</v>
      </c>
    </row>
    <row r="665" spans="1:17">
      <c r="A665" t="s">
        <v>711</v>
      </c>
      <c r="B665" s="8">
        <v>45733</v>
      </c>
      <c r="C665" t="s">
        <v>1</v>
      </c>
      <c r="D665" t="s">
        <v>34</v>
      </c>
      <c r="E665" t="s">
        <v>35</v>
      </c>
      <c r="F665" t="s">
        <v>57</v>
      </c>
      <c r="G665" t="s">
        <v>37</v>
      </c>
      <c r="H665">
        <v>1</v>
      </c>
      <c r="I665">
        <v>1</v>
      </c>
      <c r="J665">
        <v>1</v>
      </c>
      <c r="K665">
        <v>0</v>
      </c>
      <c r="L665">
        <v>0</v>
      </c>
      <c r="M665">
        <v>0</v>
      </c>
      <c r="N665">
        <v>0</v>
      </c>
      <c r="O665">
        <v>0</v>
      </c>
      <c r="Q665">
        <v>60.8</v>
      </c>
    </row>
    <row r="666" spans="1:17">
      <c r="A666" t="s">
        <v>712</v>
      </c>
      <c r="B666" s="8">
        <v>45794</v>
      </c>
      <c r="C666" t="s">
        <v>1</v>
      </c>
      <c r="D666" t="s">
        <v>34</v>
      </c>
      <c r="E666" t="s">
        <v>35</v>
      </c>
      <c r="F666" t="s">
        <v>45</v>
      </c>
      <c r="G666" t="s">
        <v>37</v>
      </c>
      <c r="H666">
        <v>1</v>
      </c>
      <c r="I666">
        <v>0</v>
      </c>
      <c r="J666">
        <v>0</v>
      </c>
      <c r="K666">
        <v>0</v>
      </c>
      <c r="L666">
        <v>0</v>
      </c>
      <c r="M666">
        <v>3</v>
      </c>
      <c r="N666">
        <v>1</v>
      </c>
      <c r="O666">
        <v>0</v>
      </c>
      <c r="Q666">
        <v>33.700000000000003</v>
      </c>
    </row>
    <row r="667" spans="1:17">
      <c r="A667" t="s">
        <v>713</v>
      </c>
      <c r="B667" s="8">
        <v>45709</v>
      </c>
      <c r="C667" t="s">
        <v>1</v>
      </c>
      <c r="D667" t="s">
        <v>34</v>
      </c>
      <c r="E667" t="s">
        <v>40</v>
      </c>
      <c r="F667" t="s">
        <v>45</v>
      </c>
      <c r="G667" t="s">
        <v>37</v>
      </c>
      <c r="H667">
        <v>0</v>
      </c>
      <c r="I667">
        <v>0</v>
      </c>
      <c r="J667">
        <v>0</v>
      </c>
      <c r="K667">
        <v>0</v>
      </c>
      <c r="L667">
        <v>0</v>
      </c>
      <c r="M667">
        <v>0</v>
      </c>
      <c r="N667">
        <v>0</v>
      </c>
      <c r="O667">
        <v>0</v>
      </c>
      <c r="Q667">
        <v>45.2</v>
      </c>
    </row>
    <row r="668" spans="1:17">
      <c r="A668" t="s">
        <v>714</v>
      </c>
      <c r="B668" s="8">
        <v>45713</v>
      </c>
      <c r="C668" t="s">
        <v>1</v>
      </c>
      <c r="D668" t="s">
        <v>44</v>
      </c>
      <c r="E668" t="s">
        <v>35</v>
      </c>
      <c r="F668" t="s">
        <v>45</v>
      </c>
      <c r="G668" t="s">
        <v>46</v>
      </c>
      <c r="H668">
        <v>0</v>
      </c>
      <c r="I668">
        <v>0</v>
      </c>
      <c r="J668">
        <v>0</v>
      </c>
      <c r="K668">
        <v>0</v>
      </c>
      <c r="L668">
        <v>0</v>
      </c>
      <c r="M668">
        <v>0</v>
      </c>
      <c r="N668">
        <v>0</v>
      </c>
      <c r="O668">
        <v>0</v>
      </c>
      <c r="Q668">
        <v>48.2</v>
      </c>
    </row>
    <row r="669" spans="1:17">
      <c r="A669" t="s">
        <v>715</v>
      </c>
      <c r="B669" s="8">
        <v>45687</v>
      </c>
      <c r="C669" t="s">
        <v>1</v>
      </c>
      <c r="D669" t="s">
        <v>48</v>
      </c>
      <c r="E669" t="s">
        <v>40</v>
      </c>
      <c r="F669" t="s">
        <v>57</v>
      </c>
      <c r="G669" t="s">
        <v>42</v>
      </c>
      <c r="H669">
        <v>1</v>
      </c>
      <c r="I669">
        <v>1</v>
      </c>
      <c r="J669">
        <v>0</v>
      </c>
      <c r="K669">
        <v>0</v>
      </c>
      <c r="L669">
        <v>0</v>
      </c>
      <c r="M669">
        <v>1</v>
      </c>
      <c r="N669">
        <v>1</v>
      </c>
      <c r="O669">
        <v>0</v>
      </c>
      <c r="Q669">
        <v>44.8</v>
      </c>
    </row>
    <row r="670" spans="1:17">
      <c r="A670" t="s">
        <v>716</v>
      </c>
      <c r="B670" s="8">
        <v>45705</v>
      </c>
      <c r="C670" t="s">
        <v>1</v>
      </c>
      <c r="D670" t="s">
        <v>34</v>
      </c>
      <c r="E670" t="s">
        <v>50</v>
      </c>
      <c r="F670" t="s">
        <v>57</v>
      </c>
      <c r="G670" t="s">
        <v>37</v>
      </c>
      <c r="H670">
        <v>0</v>
      </c>
      <c r="I670">
        <v>0</v>
      </c>
      <c r="J670">
        <v>0</v>
      </c>
      <c r="K670">
        <v>0</v>
      </c>
      <c r="L670">
        <v>0</v>
      </c>
      <c r="M670">
        <v>0</v>
      </c>
      <c r="N670">
        <v>0</v>
      </c>
      <c r="O670">
        <v>0</v>
      </c>
      <c r="Q670">
        <v>52.1</v>
      </c>
    </row>
    <row r="671" spans="1:17">
      <c r="A671" t="s">
        <v>717</v>
      </c>
      <c r="B671" s="8">
        <v>45794</v>
      </c>
      <c r="C671" t="s">
        <v>1</v>
      </c>
      <c r="D671" t="s">
        <v>34</v>
      </c>
      <c r="E671" t="s">
        <v>35</v>
      </c>
      <c r="F671" t="s">
        <v>45</v>
      </c>
      <c r="G671" t="s">
        <v>37</v>
      </c>
      <c r="H671">
        <v>1</v>
      </c>
      <c r="I671">
        <v>0</v>
      </c>
      <c r="J671">
        <v>0</v>
      </c>
      <c r="K671">
        <v>0</v>
      </c>
      <c r="L671">
        <v>0</v>
      </c>
      <c r="M671">
        <v>0</v>
      </c>
      <c r="N671">
        <v>0</v>
      </c>
      <c r="O671">
        <v>0</v>
      </c>
      <c r="Q671">
        <v>30.7</v>
      </c>
    </row>
    <row r="672" spans="1:17">
      <c r="A672" t="s">
        <v>718</v>
      </c>
      <c r="B672" s="8">
        <v>45777</v>
      </c>
      <c r="C672" t="s">
        <v>1</v>
      </c>
      <c r="D672" t="s">
        <v>44</v>
      </c>
      <c r="E672" t="s">
        <v>35</v>
      </c>
      <c r="F672" t="s">
        <v>45</v>
      </c>
      <c r="G672" t="s">
        <v>42</v>
      </c>
      <c r="H672">
        <v>1</v>
      </c>
      <c r="I672">
        <v>0</v>
      </c>
      <c r="J672">
        <v>0</v>
      </c>
      <c r="K672">
        <v>0</v>
      </c>
      <c r="L672">
        <v>0</v>
      </c>
      <c r="M672">
        <v>0</v>
      </c>
      <c r="N672">
        <v>0</v>
      </c>
      <c r="O672">
        <v>0</v>
      </c>
      <c r="Q672">
        <v>58.4</v>
      </c>
    </row>
    <row r="673" spans="1:17">
      <c r="A673" t="s">
        <v>719</v>
      </c>
      <c r="B673" s="8">
        <v>45738</v>
      </c>
      <c r="C673" t="s">
        <v>1</v>
      </c>
      <c r="D673" t="s">
        <v>39</v>
      </c>
      <c r="E673" t="s">
        <v>40</v>
      </c>
      <c r="F673" t="s">
        <v>55</v>
      </c>
      <c r="G673" t="s">
        <v>42</v>
      </c>
      <c r="H673">
        <v>1</v>
      </c>
      <c r="I673">
        <v>1</v>
      </c>
      <c r="J673">
        <v>0</v>
      </c>
      <c r="K673">
        <v>0</v>
      </c>
      <c r="L673">
        <v>0</v>
      </c>
      <c r="M673">
        <v>0</v>
      </c>
      <c r="N673">
        <v>0</v>
      </c>
      <c r="O673">
        <v>0</v>
      </c>
      <c r="Q673">
        <v>52.6</v>
      </c>
    </row>
    <row r="674" spans="1:17">
      <c r="A674" t="s">
        <v>720</v>
      </c>
      <c r="B674" s="8">
        <v>45667</v>
      </c>
      <c r="C674" t="s">
        <v>1</v>
      </c>
      <c r="D674" t="s">
        <v>39</v>
      </c>
      <c r="F674" t="s">
        <v>45</v>
      </c>
      <c r="G674" t="s">
        <v>42</v>
      </c>
      <c r="H674">
        <v>1</v>
      </c>
      <c r="I674">
        <v>0</v>
      </c>
      <c r="J674">
        <v>0</v>
      </c>
      <c r="K674">
        <v>0</v>
      </c>
      <c r="L674">
        <v>0</v>
      </c>
      <c r="M674">
        <v>1</v>
      </c>
      <c r="N674">
        <v>1</v>
      </c>
      <c r="O674">
        <v>0</v>
      </c>
      <c r="Q674">
        <v>19.100000000000001</v>
      </c>
    </row>
    <row r="675" spans="1:17">
      <c r="A675" t="s">
        <v>721</v>
      </c>
      <c r="B675" s="8">
        <v>45737</v>
      </c>
      <c r="C675" t="s">
        <v>1</v>
      </c>
      <c r="D675" t="s">
        <v>48</v>
      </c>
      <c r="F675" t="s">
        <v>45</v>
      </c>
      <c r="G675" t="s">
        <v>42</v>
      </c>
      <c r="H675">
        <v>1</v>
      </c>
      <c r="I675">
        <v>0</v>
      </c>
      <c r="J675">
        <v>0</v>
      </c>
      <c r="K675">
        <v>0</v>
      </c>
      <c r="L675">
        <v>0</v>
      </c>
      <c r="M675">
        <v>0</v>
      </c>
      <c r="N675">
        <v>0</v>
      </c>
      <c r="O675">
        <v>0</v>
      </c>
      <c r="Q675">
        <v>36.799999999999997</v>
      </c>
    </row>
    <row r="676" spans="1:17">
      <c r="A676" t="s">
        <v>722</v>
      </c>
      <c r="B676" s="8">
        <v>45789</v>
      </c>
      <c r="C676" t="s">
        <v>1</v>
      </c>
      <c r="D676" t="s">
        <v>34</v>
      </c>
      <c r="E676" t="s">
        <v>35</v>
      </c>
      <c r="F676" t="s">
        <v>45</v>
      </c>
      <c r="G676" t="s">
        <v>37</v>
      </c>
      <c r="H676">
        <v>0</v>
      </c>
      <c r="I676">
        <v>0</v>
      </c>
      <c r="J676">
        <v>0</v>
      </c>
      <c r="K676">
        <v>0</v>
      </c>
      <c r="L676">
        <v>0</v>
      </c>
      <c r="M676">
        <v>0</v>
      </c>
      <c r="N676">
        <v>0</v>
      </c>
      <c r="O676">
        <v>0</v>
      </c>
      <c r="Q676">
        <v>68.5</v>
      </c>
    </row>
    <row r="677" spans="1:17">
      <c r="A677" t="s">
        <v>723</v>
      </c>
      <c r="B677" s="8">
        <v>45801</v>
      </c>
      <c r="C677" t="s">
        <v>1</v>
      </c>
      <c r="D677" t="s">
        <v>39</v>
      </c>
      <c r="E677" t="s">
        <v>40</v>
      </c>
      <c r="F677" t="s">
        <v>45</v>
      </c>
      <c r="G677" t="s">
        <v>42</v>
      </c>
      <c r="H677">
        <v>1</v>
      </c>
      <c r="I677">
        <v>1</v>
      </c>
      <c r="J677">
        <v>1</v>
      </c>
      <c r="K677">
        <v>0</v>
      </c>
      <c r="L677">
        <v>0</v>
      </c>
      <c r="M677">
        <v>0</v>
      </c>
      <c r="N677">
        <v>0</v>
      </c>
      <c r="O677">
        <v>0</v>
      </c>
      <c r="Q677">
        <v>40.1</v>
      </c>
    </row>
    <row r="678" spans="1:17">
      <c r="A678" t="s">
        <v>724</v>
      </c>
      <c r="B678" s="8">
        <v>45780</v>
      </c>
      <c r="C678" t="s">
        <v>1</v>
      </c>
      <c r="D678" t="s">
        <v>39</v>
      </c>
      <c r="E678" t="s">
        <v>50</v>
      </c>
      <c r="F678" t="s">
        <v>41</v>
      </c>
      <c r="G678" t="s">
        <v>42</v>
      </c>
      <c r="H678">
        <v>1</v>
      </c>
      <c r="I678">
        <v>0</v>
      </c>
      <c r="J678">
        <v>0</v>
      </c>
      <c r="K678">
        <v>0</v>
      </c>
      <c r="L678">
        <v>0</v>
      </c>
      <c r="M678">
        <v>0</v>
      </c>
      <c r="N678">
        <v>0</v>
      </c>
      <c r="O678">
        <v>0</v>
      </c>
      <c r="Q678">
        <v>47.5</v>
      </c>
    </row>
    <row r="679" spans="1:17">
      <c r="A679" t="s">
        <v>725</v>
      </c>
      <c r="B679" s="8">
        <v>45671</v>
      </c>
      <c r="C679" t="s">
        <v>1</v>
      </c>
      <c r="D679" t="s">
        <v>48</v>
      </c>
      <c r="E679" t="s">
        <v>40</v>
      </c>
      <c r="F679" t="s">
        <v>41</v>
      </c>
      <c r="G679" t="s">
        <v>37</v>
      </c>
      <c r="H679">
        <v>1</v>
      </c>
      <c r="I679">
        <v>0</v>
      </c>
      <c r="J679">
        <v>0</v>
      </c>
      <c r="K679">
        <v>0</v>
      </c>
      <c r="L679">
        <v>0</v>
      </c>
      <c r="M679">
        <v>0</v>
      </c>
      <c r="N679">
        <v>0</v>
      </c>
      <c r="O679">
        <v>0</v>
      </c>
      <c r="Q679">
        <v>77.099999999999994</v>
      </c>
    </row>
    <row r="680" spans="1:17">
      <c r="A680" t="s">
        <v>726</v>
      </c>
      <c r="B680" s="8">
        <v>45743</v>
      </c>
      <c r="C680" t="s">
        <v>1</v>
      </c>
      <c r="D680" t="s">
        <v>39</v>
      </c>
      <c r="E680" t="s">
        <v>40</v>
      </c>
      <c r="F680" t="s">
        <v>57</v>
      </c>
      <c r="G680" t="s">
        <v>37</v>
      </c>
      <c r="H680">
        <v>1</v>
      </c>
      <c r="I680">
        <v>0</v>
      </c>
      <c r="J680">
        <v>0</v>
      </c>
      <c r="K680">
        <v>0</v>
      </c>
      <c r="L680">
        <v>0</v>
      </c>
      <c r="M680">
        <v>0</v>
      </c>
      <c r="N680">
        <v>0</v>
      </c>
      <c r="O680">
        <v>0</v>
      </c>
      <c r="Q680">
        <v>75.900000000000006</v>
      </c>
    </row>
    <row r="681" spans="1:17">
      <c r="A681" t="s">
        <v>727</v>
      </c>
      <c r="B681" s="8">
        <v>45716</v>
      </c>
      <c r="C681" t="s">
        <v>1</v>
      </c>
      <c r="D681" t="s">
        <v>34</v>
      </c>
      <c r="E681" t="s">
        <v>35</v>
      </c>
      <c r="F681" t="s">
        <v>55</v>
      </c>
      <c r="G681" t="s">
        <v>46</v>
      </c>
      <c r="H681">
        <v>0</v>
      </c>
      <c r="I681">
        <v>0</v>
      </c>
      <c r="J681">
        <v>0</v>
      </c>
      <c r="K681">
        <v>0</v>
      </c>
      <c r="L681">
        <v>0</v>
      </c>
      <c r="M681">
        <v>1</v>
      </c>
      <c r="N681">
        <v>1</v>
      </c>
      <c r="O681">
        <v>0</v>
      </c>
      <c r="Q681">
        <v>52</v>
      </c>
    </row>
    <row r="682" spans="1:17">
      <c r="A682" t="s">
        <v>728</v>
      </c>
      <c r="B682" s="8">
        <v>45789</v>
      </c>
      <c r="C682" t="s">
        <v>1</v>
      </c>
      <c r="D682" t="s">
        <v>39</v>
      </c>
      <c r="E682" t="s">
        <v>35</v>
      </c>
      <c r="F682" t="s">
        <v>55</v>
      </c>
      <c r="G682" t="s">
        <v>46</v>
      </c>
      <c r="H682">
        <v>1</v>
      </c>
      <c r="I682">
        <v>1</v>
      </c>
      <c r="J682">
        <v>1</v>
      </c>
      <c r="K682">
        <v>0</v>
      </c>
      <c r="L682">
        <v>0</v>
      </c>
      <c r="M682">
        <v>0</v>
      </c>
      <c r="N682">
        <v>0</v>
      </c>
      <c r="O682">
        <v>0</v>
      </c>
      <c r="Q682">
        <v>64.900000000000006</v>
      </c>
    </row>
    <row r="683" spans="1:17">
      <c r="A683" t="s">
        <v>729</v>
      </c>
      <c r="B683" s="8">
        <v>45730</v>
      </c>
      <c r="C683" t="s">
        <v>1</v>
      </c>
      <c r="D683" t="s">
        <v>34</v>
      </c>
      <c r="E683" t="s">
        <v>40</v>
      </c>
      <c r="F683" t="s">
        <v>41</v>
      </c>
      <c r="G683" t="s">
        <v>42</v>
      </c>
      <c r="H683">
        <v>1</v>
      </c>
      <c r="I683">
        <v>0</v>
      </c>
      <c r="J683">
        <v>0</v>
      </c>
      <c r="K683">
        <v>0</v>
      </c>
      <c r="L683">
        <v>0</v>
      </c>
      <c r="M683">
        <v>0</v>
      </c>
      <c r="N683">
        <v>0</v>
      </c>
      <c r="O683">
        <v>0</v>
      </c>
      <c r="Q683">
        <v>48.2</v>
      </c>
    </row>
    <row r="684" spans="1:17">
      <c r="A684" t="s">
        <v>730</v>
      </c>
      <c r="B684" s="8">
        <v>45797</v>
      </c>
      <c r="C684" t="s">
        <v>1</v>
      </c>
      <c r="D684" t="s">
        <v>44</v>
      </c>
      <c r="E684" t="s">
        <v>40</v>
      </c>
      <c r="F684" t="s">
        <v>41</v>
      </c>
      <c r="G684" t="s">
        <v>37</v>
      </c>
      <c r="H684">
        <v>0</v>
      </c>
      <c r="I684">
        <v>0</v>
      </c>
      <c r="J684">
        <v>0</v>
      </c>
      <c r="K684">
        <v>0</v>
      </c>
      <c r="L684">
        <v>0</v>
      </c>
      <c r="M684">
        <v>0</v>
      </c>
      <c r="N684">
        <v>0</v>
      </c>
      <c r="O684">
        <v>0</v>
      </c>
      <c r="Q684">
        <v>42.1</v>
      </c>
    </row>
    <row r="685" spans="1:17">
      <c r="A685" t="s">
        <v>731</v>
      </c>
      <c r="B685" s="8">
        <v>45712</v>
      </c>
      <c r="C685" t="s">
        <v>1</v>
      </c>
      <c r="D685" t="s">
        <v>48</v>
      </c>
      <c r="E685" t="s">
        <v>35</v>
      </c>
      <c r="F685" t="s">
        <v>55</v>
      </c>
      <c r="G685" t="s">
        <v>42</v>
      </c>
      <c r="H685">
        <v>0</v>
      </c>
      <c r="I685">
        <v>0</v>
      </c>
      <c r="J685">
        <v>0</v>
      </c>
      <c r="K685">
        <v>0</v>
      </c>
      <c r="L685">
        <v>0</v>
      </c>
      <c r="M685">
        <v>0</v>
      </c>
      <c r="N685">
        <v>0</v>
      </c>
      <c r="O685">
        <v>0</v>
      </c>
      <c r="Q685">
        <v>27.6</v>
      </c>
    </row>
    <row r="686" spans="1:17">
      <c r="A686" t="s">
        <v>732</v>
      </c>
      <c r="B686" s="8">
        <v>45701</v>
      </c>
      <c r="C686" t="s">
        <v>1</v>
      </c>
      <c r="D686" t="s">
        <v>39</v>
      </c>
      <c r="E686" t="s">
        <v>40</v>
      </c>
      <c r="F686" t="s">
        <v>41</v>
      </c>
      <c r="G686" t="s">
        <v>46</v>
      </c>
      <c r="H686">
        <v>1</v>
      </c>
      <c r="I686">
        <v>0</v>
      </c>
      <c r="J686">
        <v>0</v>
      </c>
      <c r="K686">
        <v>0</v>
      </c>
      <c r="L686">
        <v>0</v>
      </c>
      <c r="M686">
        <v>1</v>
      </c>
      <c r="N686">
        <v>1</v>
      </c>
      <c r="O686">
        <v>0</v>
      </c>
      <c r="Q686">
        <v>68.5</v>
      </c>
    </row>
    <row r="687" spans="1:17">
      <c r="A687" t="s">
        <v>733</v>
      </c>
      <c r="B687" s="8">
        <v>45694</v>
      </c>
      <c r="C687" t="s">
        <v>1</v>
      </c>
      <c r="D687" t="s">
        <v>48</v>
      </c>
      <c r="E687" t="s">
        <v>35</v>
      </c>
      <c r="F687" t="s">
        <v>41</v>
      </c>
      <c r="G687" t="s">
        <v>42</v>
      </c>
      <c r="H687">
        <v>1</v>
      </c>
      <c r="I687">
        <v>1</v>
      </c>
      <c r="J687">
        <v>1</v>
      </c>
      <c r="K687">
        <v>0</v>
      </c>
      <c r="L687">
        <v>0</v>
      </c>
      <c r="M687">
        <v>0</v>
      </c>
      <c r="N687">
        <v>0</v>
      </c>
      <c r="O687">
        <v>0</v>
      </c>
      <c r="Q687">
        <v>59.2</v>
      </c>
    </row>
    <row r="688" spans="1:17">
      <c r="A688" t="s">
        <v>734</v>
      </c>
      <c r="B688" s="8">
        <v>45718</v>
      </c>
      <c r="C688" t="s">
        <v>1</v>
      </c>
      <c r="D688" t="s">
        <v>34</v>
      </c>
      <c r="E688" t="s">
        <v>40</v>
      </c>
      <c r="F688" t="s">
        <v>57</v>
      </c>
      <c r="G688" t="s">
        <v>37</v>
      </c>
      <c r="H688">
        <v>1</v>
      </c>
      <c r="I688">
        <v>0</v>
      </c>
      <c r="J688">
        <v>0</v>
      </c>
      <c r="K688">
        <v>0</v>
      </c>
      <c r="L688">
        <v>0</v>
      </c>
      <c r="M688">
        <v>0</v>
      </c>
      <c r="N688">
        <v>0</v>
      </c>
      <c r="O688">
        <v>0</v>
      </c>
      <c r="Q688">
        <v>63.3</v>
      </c>
    </row>
    <row r="689" spans="1:17">
      <c r="A689" t="s">
        <v>735</v>
      </c>
      <c r="B689" s="8">
        <v>45775</v>
      </c>
      <c r="C689" t="s">
        <v>1</v>
      </c>
      <c r="D689" t="s">
        <v>44</v>
      </c>
      <c r="E689" t="s">
        <v>35</v>
      </c>
      <c r="F689" t="s">
        <v>45</v>
      </c>
      <c r="G689" t="s">
        <v>42</v>
      </c>
      <c r="H689">
        <v>0</v>
      </c>
      <c r="I689">
        <v>0</v>
      </c>
      <c r="J689">
        <v>0</v>
      </c>
      <c r="K689">
        <v>0</v>
      </c>
      <c r="L689">
        <v>0</v>
      </c>
      <c r="M689">
        <v>0</v>
      </c>
      <c r="N689">
        <v>0</v>
      </c>
      <c r="O689">
        <v>0</v>
      </c>
      <c r="Q689">
        <v>55</v>
      </c>
    </row>
    <row r="690" spans="1:17">
      <c r="A690" t="s">
        <v>736</v>
      </c>
      <c r="B690" s="8">
        <v>45804</v>
      </c>
      <c r="C690" t="s">
        <v>1</v>
      </c>
      <c r="D690" t="s">
        <v>34</v>
      </c>
      <c r="E690" t="s">
        <v>35</v>
      </c>
      <c r="G690" t="s">
        <v>46</v>
      </c>
      <c r="H690">
        <v>1</v>
      </c>
      <c r="I690">
        <v>0</v>
      </c>
      <c r="J690">
        <v>0</v>
      </c>
      <c r="K690">
        <v>0</v>
      </c>
      <c r="L690">
        <v>0</v>
      </c>
      <c r="M690">
        <v>0</v>
      </c>
      <c r="N690">
        <v>0</v>
      </c>
      <c r="O690">
        <v>0</v>
      </c>
      <c r="Q690">
        <v>64.8</v>
      </c>
    </row>
    <row r="691" spans="1:17">
      <c r="A691" t="s">
        <v>737</v>
      </c>
      <c r="B691" s="8">
        <v>45754</v>
      </c>
      <c r="C691" t="s">
        <v>1</v>
      </c>
      <c r="D691" t="s">
        <v>48</v>
      </c>
      <c r="E691" t="s">
        <v>35</v>
      </c>
      <c r="F691" t="s">
        <v>41</v>
      </c>
      <c r="G691" t="s">
        <v>37</v>
      </c>
      <c r="H691">
        <v>0</v>
      </c>
      <c r="I691">
        <v>0</v>
      </c>
      <c r="J691">
        <v>0</v>
      </c>
      <c r="K691">
        <v>0</v>
      </c>
      <c r="L691">
        <v>0</v>
      </c>
      <c r="M691">
        <v>2</v>
      </c>
      <c r="N691">
        <v>1</v>
      </c>
      <c r="O691">
        <v>0</v>
      </c>
      <c r="Q691">
        <v>41.8</v>
      </c>
    </row>
    <row r="692" spans="1:17">
      <c r="A692" t="s">
        <v>738</v>
      </c>
      <c r="B692" s="8">
        <v>45761</v>
      </c>
      <c r="C692" t="s">
        <v>2</v>
      </c>
      <c r="D692" t="s">
        <v>44</v>
      </c>
      <c r="E692" t="s">
        <v>35</v>
      </c>
      <c r="F692" t="s">
        <v>57</v>
      </c>
      <c r="G692" t="s">
        <v>37</v>
      </c>
      <c r="H692">
        <v>1</v>
      </c>
      <c r="I692">
        <v>0</v>
      </c>
      <c r="J692">
        <v>0</v>
      </c>
      <c r="K692">
        <v>0</v>
      </c>
      <c r="L692">
        <v>0</v>
      </c>
      <c r="M692">
        <v>0</v>
      </c>
      <c r="N692">
        <v>0</v>
      </c>
      <c r="O692">
        <v>0</v>
      </c>
      <c r="Q692">
        <v>73.2</v>
      </c>
    </row>
    <row r="693" spans="1:17">
      <c r="A693" t="s">
        <v>739</v>
      </c>
      <c r="B693" s="8">
        <v>45786</v>
      </c>
      <c r="C693" t="s">
        <v>2</v>
      </c>
      <c r="D693" t="s">
        <v>44</v>
      </c>
      <c r="E693" t="s">
        <v>35</v>
      </c>
      <c r="F693" t="s">
        <v>41</v>
      </c>
      <c r="G693" t="s">
        <v>37</v>
      </c>
      <c r="H693">
        <v>1</v>
      </c>
      <c r="I693">
        <v>1</v>
      </c>
      <c r="J693">
        <v>1</v>
      </c>
      <c r="K693">
        <v>0</v>
      </c>
      <c r="L693">
        <v>0</v>
      </c>
      <c r="M693">
        <v>3</v>
      </c>
      <c r="N693">
        <v>1</v>
      </c>
      <c r="O693">
        <v>0</v>
      </c>
      <c r="Q693">
        <v>55.7</v>
      </c>
    </row>
    <row r="694" spans="1:17">
      <c r="A694" t="s">
        <v>740</v>
      </c>
      <c r="B694" s="8">
        <v>45737</v>
      </c>
      <c r="C694" t="s">
        <v>2</v>
      </c>
      <c r="D694" t="s">
        <v>34</v>
      </c>
      <c r="E694" t="s">
        <v>40</v>
      </c>
      <c r="F694" t="s">
        <v>41</v>
      </c>
      <c r="G694" t="s">
        <v>42</v>
      </c>
      <c r="H694">
        <v>1</v>
      </c>
      <c r="I694">
        <v>1</v>
      </c>
      <c r="J694">
        <v>1</v>
      </c>
      <c r="K694">
        <v>0</v>
      </c>
      <c r="L694">
        <v>0</v>
      </c>
      <c r="M694">
        <v>0</v>
      </c>
      <c r="N694">
        <v>0</v>
      </c>
      <c r="O694">
        <v>0</v>
      </c>
      <c r="Q694">
        <v>82.8</v>
      </c>
    </row>
    <row r="695" spans="1:17">
      <c r="A695" t="s">
        <v>741</v>
      </c>
      <c r="B695" s="8">
        <v>45743</v>
      </c>
      <c r="C695" t="s">
        <v>2</v>
      </c>
      <c r="D695" t="s">
        <v>34</v>
      </c>
      <c r="E695" t="s">
        <v>35</v>
      </c>
      <c r="F695" t="s">
        <v>57</v>
      </c>
      <c r="G695" t="s">
        <v>42</v>
      </c>
      <c r="H695">
        <v>1</v>
      </c>
      <c r="I695">
        <v>0</v>
      </c>
      <c r="J695">
        <v>0</v>
      </c>
      <c r="K695">
        <v>0</v>
      </c>
      <c r="L695">
        <v>0</v>
      </c>
      <c r="M695">
        <v>0</v>
      </c>
      <c r="N695">
        <v>0</v>
      </c>
      <c r="O695">
        <v>0</v>
      </c>
    </row>
    <row r="696" spans="1:17">
      <c r="A696" t="s">
        <v>742</v>
      </c>
      <c r="B696" s="8">
        <v>45678</v>
      </c>
      <c r="C696" t="s">
        <v>2</v>
      </c>
      <c r="D696" t="s">
        <v>48</v>
      </c>
      <c r="E696" t="s">
        <v>40</v>
      </c>
      <c r="F696" t="s">
        <v>45</v>
      </c>
      <c r="G696" t="s">
        <v>42</v>
      </c>
      <c r="H696">
        <v>0</v>
      </c>
      <c r="I696">
        <v>0</v>
      </c>
      <c r="J696">
        <v>0</v>
      </c>
      <c r="K696">
        <v>0</v>
      </c>
      <c r="L696">
        <v>0</v>
      </c>
      <c r="M696">
        <v>0</v>
      </c>
      <c r="N696">
        <v>0</v>
      </c>
      <c r="O696">
        <v>0</v>
      </c>
      <c r="Q696">
        <v>34.4</v>
      </c>
    </row>
    <row r="697" spans="1:17">
      <c r="A697" t="s">
        <v>743</v>
      </c>
      <c r="B697" s="8">
        <v>45735</v>
      </c>
      <c r="C697" t="s">
        <v>2</v>
      </c>
      <c r="D697" t="s">
        <v>44</v>
      </c>
      <c r="E697" t="s">
        <v>35</v>
      </c>
      <c r="F697" t="s">
        <v>36</v>
      </c>
      <c r="G697" t="s">
        <v>42</v>
      </c>
      <c r="H697">
        <v>1</v>
      </c>
      <c r="I697">
        <v>0</v>
      </c>
      <c r="J697">
        <v>0</v>
      </c>
      <c r="K697">
        <v>0</v>
      </c>
      <c r="L697">
        <v>0</v>
      </c>
      <c r="M697">
        <v>0</v>
      </c>
      <c r="N697">
        <v>0</v>
      </c>
      <c r="O697">
        <v>0</v>
      </c>
      <c r="Q697">
        <v>45.2</v>
      </c>
    </row>
    <row r="698" spans="1:17">
      <c r="A698" t="s">
        <v>744</v>
      </c>
      <c r="B698" s="8">
        <v>45804</v>
      </c>
      <c r="C698" t="s">
        <v>2</v>
      </c>
      <c r="D698" t="s">
        <v>34</v>
      </c>
      <c r="E698" t="s">
        <v>40</v>
      </c>
      <c r="F698" t="s">
        <v>41</v>
      </c>
      <c r="G698" t="s">
        <v>37</v>
      </c>
      <c r="H698">
        <v>1</v>
      </c>
      <c r="I698">
        <v>0</v>
      </c>
      <c r="J698">
        <v>0</v>
      </c>
      <c r="K698">
        <v>0</v>
      </c>
      <c r="L698">
        <v>0</v>
      </c>
      <c r="M698">
        <v>0</v>
      </c>
      <c r="N698">
        <v>0</v>
      </c>
      <c r="O698">
        <v>0</v>
      </c>
      <c r="Q698">
        <v>71.599999999999994</v>
      </c>
    </row>
    <row r="699" spans="1:17">
      <c r="A699" t="s">
        <v>745</v>
      </c>
      <c r="B699" s="8">
        <v>45658</v>
      </c>
      <c r="C699" t="s">
        <v>2</v>
      </c>
      <c r="D699" t="s">
        <v>34</v>
      </c>
      <c r="E699" t="s">
        <v>40</v>
      </c>
      <c r="F699" t="s">
        <v>57</v>
      </c>
      <c r="G699" t="s">
        <v>42</v>
      </c>
      <c r="H699">
        <v>1</v>
      </c>
      <c r="I699">
        <v>1</v>
      </c>
      <c r="J699">
        <v>1</v>
      </c>
      <c r="K699">
        <v>0</v>
      </c>
      <c r="L699">
        <v>0</v>
      </c>
      <c r="M699">
        <v>0</v>
      </c>
      <c r="N699">
        <v>0</v>
      </c>
      <c r="O699">
        <v>0</v>
      </c>
      <c r="Q699">
        <v>69.099999999999994</v>
      </c>
    </row>
    <row r="700" spans="1:17">
      <c r="A700" t="s">
        <v>746</v>
      </c>
      <c r="B700" s="8">
        <v>45745</v>
      </c>
      <c r="C700" t="s">
        <v>2</v>
      </c>
      <c r="D700" t="s">
        <v>39</v>
      </c>
      <c r="E700" t="s">
        <v>35</v>
      </c>
      <c r="F700" t="s">
        <v>45</v>
      </c>
      <c r="G700" t="s">
        <v>46</v>
      </c>
      <c r="H700">
        <v>1</v>
      </c>
      <c r="I700">
        <v>0</v>
      </c>
      <c r="J700">
        <v>0</v>
      </c>
      <c r="K700">
        <v>0</v>
      </c>
      <c r="L700">
        <v>0</v>
      </c>
      <c r="M700">
        <v>1</v>
      </c>
      <c r="N700">
        <v>1</v>
      </c>
      <c r="O700">
        <v>0</v>
      </c>
      <c r="Q700">
        <v>37.700000000000003</v>
      </c>
    </row>
    <row r="701" spans="1:17">
      <c r="A701" t="s">
        <v>747</v>
      </c>
      <c r="B701" s="8">
        <v>45733</v>
      </c>
      <c r="C701" t="s">
        <v>2</v>
      </c>
      <c r="D701" t="s">
        <v>39</v>
      </c>
      <c r="E701" t="s">
        <v>35</v>
      </c>
      <c r="F701" t="s">
        <v>41</v>
      </c>
      <c r="G701" t="s">
        <v>37</v>
      </c>
      <c r="H701">
        <v>1</v>
      </c>
      <c r="I701">
        <v>0</v>
      </c>
      <c r="J701">
        <v>0</v>
      </c>
      <c r="K701">
        <v>0</v>
      </c>
      <c r="L701">
        <v>0</v>
      </c>
      <c r="M701">
        <v>1</v>
      </c>
      <c r="N701">
        <v>1</v>
      </c>
      <c r="O701">
        <v>0</v>
      </c>
      <c r="Q701">
        <v>60.8</v>
      </c>
    </row>
    <row r="702" spans="1:17">
      <c r="A702" t="s">
        <v>748</v>
      </c>
      <c r="B702" s="8">
        <v>45782</v>
      </c>
      <c r="C702" t="s">
        <v>2</v>
      </c>
      <c r="D702" t="s">
        <v>34</v>
      </c>
      <c r="E702" t="s">
        <v>40</v>
      </c>
      <c r="F702" t="s">
        <v>41</v>
      </c>
      <c r="G702" t="s">
        <v>42</v>
      </c>
      <c r="H702">
        <v>1</v>
      </c>
      <c r="I702">
        <v>1</v>
      </c>
      <c r="J702">
        <v>1</v>
      </c>
      <c r="K702">
        <v>1</v>
      </c>
      <c r="L702">
        <v>444.13</v>
      </c>
      <c r="M702">
        <v>0</v>
      </c>
      <c r="N702">
        <v>0</v>
      </c>
      <c r="O702">
        <v>0</v>
      </c>
      <c r="P702">
        <v>10</v>
      </c>
      <c r="Q702">
        <v>80.7</v>
      </c>
    </row>
    <row r="703" spans="1:17">
      <c r="A703" t="s">
        <v>749</v>
      </c>
      <c r="B703" s="8">
        <v>45781</v>
      </c>
      <c r="C703" t="s">
        <v>2</v>
      </c>
      <c r="D703" t="s">
        <v>48</v>
      </c>
      <c r="E703" t="s">
        <v>40</v>
      </c>
      <c r="F703" t="s">
        <v>57</v>
      </c>
      <c r="G703" t="s">
        <v>42</v>
      </c>
      <c r="H703">
        <v>1</v>
      </c>
      <c r="I703">
        <v>0</v>
      </c>
      <c r="J703">
        <v>0</v>
      </c>
      <c r="K703">
        <v>0</v>
      </c>
      <c r="L703">
        <v>0</v>
      </c>
      <c r="M703">
        <v>0</v>
      </c>
      <c r="N703">
        <v>0</v>
      </c>
      <c r="O703">
        <v>0</v>
      </c>
      <c r="Q703">
        <v>69.2</v>
      </c>
    </row>
    <row r="704" spans="1:17">
      <c r="A704" t="s">
        <v>750</v>
      </c>
      <c r="B704" s="8">
        <v>45741</v>
      </c>
      <c r="C704" t="s">
        <v>2</v>
      </c>
      <c r="D704" t="s">
        <v>34</v>
      </c>
      <c r="E704" t="s">
        <v>40</v>
      </c>
      <c r="F704" t="s">
        <v>57</v>
      </c>
      <c r="G704" t="s">
        <v>46</v>
      </c>
      <c r="H704">
        <v>0</v>
      </c>
      <c r="I704">
        <v>0</v>
      </c>
      <c r="J704">
        <v>0</v>
      </c>
      <c r="K704">
        <v>0</v>
      </c>
      <c r="L704">
        <v>0</v>
      </c>
      <c r="M704">
        <v>3</v>
      </c>
      <c r="N704">
        <v>1</v>
      </c>
      <c r="O704">
        <v>0</v>
      </c>
      <c r="Q704">
        <v>55</v>
      </c>
    </row>
    <row r="705" spans="1:17">
      <c r="A705" t="s">
        <v>751</v>
      </c>
      <c r="B705" s="8">
        <v>45764</v>
      </c>
      <c r="C705" t="s">
        <v>2</v>
      </c>
      <c r="D705" t="s">
        <v>39</v>
      </c>
      <c r="E705" t="s">
        <v>40</v>
      </c>
      <c r="F705" t="s">
        <v>36</v>
      </c>
      <c r="G705" t="s">
        <v>42</v>
      </c>
      <c r="H705">
        <v>0</v>
      </c>
      <c r="I705">
        <v>0</v>
      </c>
      <c r="J705">
        <v>0</v>
      </c>
      <c r="K705">
        <v>0</v>
      </c>
      <c r="L705">
        <v>0</v>
      </c>
      <c r="M705">
        <v>1</v>
      </c>
      <c r="N705">
        <v>1</v>
      </c>
      <c r="O705">
        <v>0</v>
      </c>
      <c r="Q705">
        <v>73.599999999999994</v>
      </c>
    </row>
    <row r="706" spans="1:17">
      <c r="A706" t="s">
        <v>752</v>
      </c>
      <c r="B706" s="8">
        <v>45800</v>
      </c>
      <c r="C706" t="s">
        <v>2</v>
      </c>
      <c r="D706" t="s">
        <v>48</v>
      </c>
      <c r="E706" t="s">
        <v>40</v>
      </c>
      <c r="F706" t="s">
        <v>55</v>
      </c>
      <c r="G706" t="s">
        <v>37</v>
      </c>
      <c r="H706">
        <v>1</v>
      </c>
      <c r="I706">
        <v>1</v>
      </c>
      <c r="J706">
        <v>1</v>
      </c>
      <c r="K706">
        <v>0</v>
      </c>
      <c r="L706">
        <v>0</v>
      </c>
      <c r="M706">
        <v>1</v>
      </c>
      <c r="N706">
        <v>1</v>
      </c>
      <c r="O706">
        <v>0</v>
      </c>
      <c r="Q706">
        <v>47.3</v>
      </c>
    </row>
    <row r="707" spans="1:17">
      <c r="A707" t="s">
        <v>753</v>
      </c>
      <c r="B707" s="8">
        <v>45670</v>
      </c>
      <c r="C707" t="s">
        <v>2</v>
      </c>
      <c r="D707" t="s">
        <v>34</v>
      </c>
      <c r="E707" t="s">
        <v>40</v>
      </c>
      <c r="F707" t="s">
        <v>41</v>
      </c>
      <c r="G707" t="s">
        <v>37</v>
      </c>
      <c r="H707">
        <v>0</v>
      </c>
      <c r="I707">
        <v>0</v>
      </c>
      <c r="J707">
        <v>0</v>
      </c>
      <c r="K707">
        <v>0</v>
      </c>
      <c r="L707">
        <v>0</v>
      </c>
      <c r="M707">
        <v>0</v>
      </c>
      <c r="N707">
        <v>0</v>
      </c>
      <c r="O707">
        <v>0</v>
      </c>
      <c r="Q707">
        <v>43.6</v>
      </c>
    </row>
    <row r="708" spans="1:17">
      <c r="A708" t="s">
        <v>754</v>
      </c>
      <c r="B708" s="8">
        <v>45686</v>
      </c>
      <c r="C708" t="s">
        <v>2</v>
      </c>
      <c r="D708" t="s">
        <v>34</v>
      </c>
      <c r="E708" t="s">
        <v>35</v>
      </c>
      <c r="F708" t="s">
        <v>41</v>
      </c>
      <c r="G708" t="s">
        <v>37</v>
      </c>
      <c r="H708">
        <v>1</v>
      </c>
      <c r="I708">
        <v>0</v>
      </c>
      <c r="J708">
        <v>0</v>
      </c>
      <c r="K708">
        <v>0</v>
      </c>
      <c r="L708">
        <v>0</v>
      </c>
      <c r="M708">
        <v>0</v>
      </c>
      <c r="N708">
        <v>0</v>
      </c>
      <c r="O708">
        <v>0</v>
      </c>
    </row>
    <row r="709" spans="1:17">
      <c r="A709" t="s">
        <v>755</v>
      </c>
      <c r="B709" s="8">
        <v>45788</v>
      </c>
      <c r="C709" t="s">
        <v>2</v>
      </c>
      <c r="D709" t="s">
        <v>48</v>
      </c>
      <c r="E709" t="s">
        <v>40</v>
      </c>
      <c r="F709" t="s">
        <v>36</v>
      </c>
      <c r="G709" t="s">
        <v>42</v>
      </c>
      <c r="H709">
        <v>0</v>
      </c>
      <c r="I709">
        <v>0</v>
      </c>
      <c r="J709">
        <v>0</v>
      </c>
      <c r="K709">
        <v>0</v>
      </c>
      <c r="L709">
        <v>0</v>
      </c>
      <c r="M709">
        <v>0</v>
      </c>
      <c r="N709">
        <v>0</v>
      </c>
      <c r="O709">
        <v>0</v>
      </c>
      <c r="Q709">
        <v>55.2</v>
      </c>
    </row>
    <row r="710" spans="1:17">
      <c r="A710" t="s">
        <v>756</v>
      </c>
      <c r="B710" s="8">
        <v>45769</v>
      </c>
      <c r="C710" t="s">
        <v>2</v>
      </c>
      <c r="D710" t="s">
        <v>48</v>
      </c>
      <c r="E710" t="s">
        <v>40</v>
      </c>
      <c r="F710" t="s">
        <v>41</v>
      </c>
      <c r="G710" t="s">
        <v>37</v>
      </c>
      <c r="H710">
        <v>1</v>
      </c>
      <c r="I710">
        <v>0</v>
      </c>
      <c r="J710">
        <v>0</v>
      </c>
      <c r="K710">
        <v>0</v>
      </c>
      <c r="L710">
        <v>0</v>
      </c>
      <c r="M710">
        <v>0</v>
      </c>
      <c r="N710">
        <v>0</v>
      </c>
      <c r="O710">
        <v>0</v>
      </c>
      <c r="Q710">
        <v>49.4</v>
      </c>
    </row>
    <row r="711" spans="1:17">
      <c r="A711" t="s">
        <v>757</v>
      </c>
      <c r="B711" s="8">
        <v>45719</v>
      </c>
      <c r="C711" t="s">
        <v>2</v>
      </c>
      <c r="D711" t="s">
        <v>48</v>
      </c>
      <c r="E711" t="s">
        <v>40</v>
      </c>
      <c r="F711" t="s">
        <v>57</v>
      </c>
      <c r="G711" t="s">
        <v>42</v>
      </c>
      <c r="H711">
        <v>1</v>
      </c>
      <c r="I711">
        <v>1</v>
      </c>
      <c r="J711">
        <v>1</v>
      </c>
      <c r="K711">
        <v>0</v>
      </c>
      <c r="L711">
        <v>0</v>
      </c>
      <c r="M711">
        <v>1</v>
      </c>
      <c r="N711">
        <v>1</v>
      </c>
      <c r="O711">
        <v>0</v>
      </c>
      <c r="Q711">
        <v>60.1</v>
      </c>
    </row>
    <row r="712" spans="1:17">
      <c r="A712" t="s">
        <v>758</v>
      </c>
      <c r="B712" s="8">
        <v>45734</v>
      </c>
      <c r="C712" t="s">
        <v>2</v>
      </c>
      <c r="D712" t="s">
        <v>34</v>
      </c>
      <c r="E712" t="s">
        <v>40</v>
      </c>
      <c r="F712" t="s">
        <v>55</v>
      </c>
      <c r="G712" t="s">
        <v>42</v>
      </c>
      <c r="H712">
        <v>1</v>
      </c>
      <c r="I712">
        <v>0</v>
      </c>
      <c r="J712">
        <v>0</v>
      </c>
      <c r="K712">
        <v>0</v>
      </c>
      <c r="L712">
        <v>0</v>
      </c>
      <c r="M712">
        <v>0</v>
      </c>
      <c r="N712">
        <v>0</v>
      </c>
      <c r="O712">
        <v>0</v>
      </c>
      <c r="Q712">
        <v>55.9</v>
      </c>
    </row>
    <row r="713" spans="1:17">
      <c r="A713" t="s">
        <v>759</v>
      </c>
      <c r="B713" s="8">
        <v>45752</v>
      </c>
      <c r="C713" t="s">
        <v>2</v>
      </c>
      <c r="D713" t="s">
        <v>34</v>
      </c>
      <c r="E713" t="s">
        <v>40</v>
      </c>
      <c r="F713" t="s">
        <v>41</v>
      </c>
      <c r="G713" t="s">
        <v>37</v>
      </c>
      <c r="H713">
        <v>1</v>
      </c>
      <c r="I713">
        <v>0</v>
      </c>
      <c r="J713">
        <v>0</v>
      </c>
      <c r="K713">
        <v>0</v>
      </c>
      <c r="L713">
        <v>0</v>
      </c>
      <c r="M713">
        <v>0</v>
      </c>
      <c r="N713">
        <v>0</v>
      </c>
      <c r="O713">
        <v>0</v>
      </c>
      <c r="Q713">
        <v>51.5</v>
      </c>
    </row>
    <row r="714" spans="1:17">
      <c r="A714" t="s">
        <v>760</v>
      </c>
      <c r="B714" s="8">
        <v>45763</v>
      </c>
      <c r="C714" t="s">
        <v>2</v>
      </c>
      <c r="D714" t="s">
        <v>44</v>
      </c>
      <c r="E714" t="s">
        <v>40</v>
      </c>
      <c r="F714" t="s">
        <v>41</v>
      </c>
      <c r="G714" t="s">
        <v>42</v>
      </c>
      <c r="H714">
        <v>1</v>
      </c>
      <c r="I714">
        <v>1</v>
      </c>
      <c r="J714">
        <v>1</v>
      </c>
      <c r="K714">
        <v>1</v>
      </c>
      <c r="L714">
        <v>516.66999999999996</v>
      </c>
      <c r="M714">
        <v>0</v>
      </c>
      <c r="N714">
        <v>0</v>
      </c>
      <c r="O714">
        <v>0</v>
      </c>
      <c r="P714">
        <v>11</v>
      </c>
      <c r="Q714">
        <v>57.9</v>
      </c>
    </row>
    <row r="715" spans="1:17">
      <c r="A715" t="s">
        <v>761</v>
      </c>
      <c r="B715" s="8">
        <v>45767</v>
      </c>
      <c r="C715" t="s">
        <v>2</v>
      </c>
      <c r="D715" t="s">
        <v>48</v>
      </c>
      <c r="E715" t="s">
        <v>40</v>
      </c>
      <c r="F715" t="s">
        <v>55</v>
      </c>
      <c r="G715" t="s">
        <v>42</v>
      </c>
      <c r="H715">
        <v>1</v>
      </c>
      <c r="I715">
        <v>1</v>
      </c>
      <c r="J715">
        <v>1</v>
      </c>
      <c r="K715">
        <v>1</v>
      </c>
      <c r="L715">
        <v>277.18</v>
      </c>
      <c r="M715">
        <v>2</v>
      </c>
      <c r="N715">
        <v>1</v>
      </c>
      <c r="O715">
        <v>0</v>
      </c>
      <c r="P715">
        <v>8</v>
      </c>
      <c r="Q715">
        <v>59.2</v>
      </c>
    </row>
    <row r="716" spans="1:17">
      <c r="A716" t="s">
        <v>762</v>
      </c>
      <c r="B716" s="8">
        <v>45703</v>
      </c>
      <c r="C716" t="s">
        <v>2</v>
      </c>
      <c r="D716" t="s">
        <v>48</v>
      </c>
      <c r="E716" t="s">
        <v>40</v>
      </c>
      <c r="F716" t="s">
        <v>41</v>
      </c>
      <c r="G716" t="s">
        <v>42</v>
      </c>
      <c r="H716">
        <v>0</v>
      </c>
      <c r="I716">
        <v>0</v>
      </c>
      <c r="J716">
        <v>0</v>
      </c>
      <c r="K716">
        <v>0</v>
      </c>
      <c r="L716">
        <v>0</v>
      </c>
      <c r="M716">
        <v>0</v>
      </c>
      <c r="N716">
        <v>0</v>
      </c>
      <c r="O716">
        <v>0</v>
      </c>
      <c r="Q716">
        <v>64.2</v>
      </c>
    </row>
    <row r="717" spans="1:17">
      <c r="A717" t="s">
        <v>763</v>
      </c>
      <c r="B717" s="8">
        <v>45678</v>
      </c>
      <c r="C717" t="s">
        <v>2</v>
      </c>
      <c r="D717" t="s">
        <v>48</v>
      </c>
      <c r="E717" t="s">
        <v>40</v>
      </c>
      <c r="F717" t="s">
        <v>41</v>
      </c>
      <c r="G717" t="s">
        <v>42</v>
      </c>
      <c r="H717">
        <v>1</v>
      </c>
      <c r="I717">
        <v>0</v>
      </c>
      <c r="J717">
        <v>0</v>
      </c>
      <c r="K717">
        <v>0</v>
      </c>
      <c r="L717">
        <v>0</v>
      </c>
      <c r="M717">
        <v>0</v>
      </c>
      <c r="N717">
        <v>0</v>
      </c>
      <c r="O717">
        <v>0</v>
      </c>
      <c r="Q717">
        <v>68.8</v>
      </c>
    </row>
    <row r="718" spans="1:17">
      <c r="A718" t="s">
        <v>764</v>
      </c>
      <c r="B718" s="8">
        <v>45800</v>
      </c>
      <c r="C718" t="s">
        <v>2</v>
      </c>
      <c r="D718" t="s">
        <v>34</v>
      </c>
      <c r="E718" t="s">
        <v>40</v>
      </c>
      <c r="F718" t="s">
        <v>45</v>
      </c>
      <c r="G718" t="s">
        <v>46</v>
      </c>
      <c r="H718">
        <v>1</v>
      </c>
      <c r="I718">
        <v>1</v>
      </c>
      <c r="J718">
        <v>1</v>
      </c>
      <c r="K718">
        <v>0</v>
      </c>
      <c r="L718">
        <v>0</v>
      </c>
      <c r="M718">
        <v>0</v>
      </c>
      <c r="N718">
        <v>0</v>
      </c>
      <c r="O718">
        <v>0</v>
      </c>
      <c r="Q718">
        <v>77.900000000000006</v>
      </c>
    </row>
    <row r="719" spans="1:17">
      <c r="A719" t="s">
        <v>765</v>
      </c>
      <c r="B719" s="8">
        <v>45679</v>
      </c>
      <c r="C719" t="s">
        <v>2</v>
      </c>
      <c r="D719" t="s">
        <v>39</v>
      </c>
      <c r="E719" t="s">
        <v>40</v>
      </c>
      <c r="F719" t="s">
        <v>45</v>
      </c>
      <c r="G719" t="s">
        <v>37</v>
      </c>
      <c r="H719">
        <v>0</v>
      </c>
      <c r="I719">
        <v>0</v>
      </c>
      <c r="J719">
        <v>0</v>
      </c>
      <c r="K719">
        <v>0</v>
      </c>
      <c r="L719">
        <v>0</v>
      </c>
      <c r="M719">
        <v>0</v>
      </c>
      <c r="N719">
        <v>0</v>
      </c>
      <c r="O719">
        <v>0</v>
      </c>
      <c r="Q719">
        <v>92.1</v>
      </c>
    </row>
    <row r="720" spans="1:17">
      <c r="A720" t="s">
        <v>766</v>
      </c>
      <c r="B720" s="8">
        <v>45771</v>
      </c>
      <c r="C720" t="s">
        <v>2</v>
      </c>
      <c r="D720" t="s">
        <v>39</v>
      </c>
      <c r="E720" t="s">
        <v>40</v>
      </c>
      <c r="F720" t="s">
        <v>45</v>
      </c>
      <c r="G720" t="s">
        <v>46</v>
      </c>
      <c r="H720">
        <v>0</v>
      </c>
      <c r="I720">
        <v>0</v>
      </c>
      <c r="J720">
        <v>0</v>
      </c>
      <c r="K720">
        <v>0</v>
      </c>
      <c r="L720">
        <v>0</v>
      </c>
      <c r="M720">
        <v>0</v>
      </c>
      <c r="N720">
        <v>0</v>
      </c>
      <c r="O720">
        <v>0</v>
      </c>
      <c r="Q720">
        <v>63.6</v>
      </c>
    </row>
    <row r="721" spans="1:17">
      <c r="A721" t="s">
        <v>767</v>
      </c>
      <c r="B721" s="8">
        <v>45674</v>
      </c>
      <c r="C721" t="s">
        <v>2</v>
      </c>
      <c r="D721" t="s">
        <v>39</v>
      </c>
      <c r="E721" t="s">
        <v>35</v>
      </c>
      <c r="F721" t="s">
        <v>36</v>
      </c>
      <c r="G721" t="s">
        <v>42</v>
      </c>
      <c r="H721">
        <v>0</v>
      </c>
      <c r="I721">
        <v>0</v>
      </c>
      <c r="J721">
        <v>0</v>
      </c>
      <c r="K721">
        <v>0</v>
      </c>
      <c r="L721">
        <v>0</v>
      </c>
      <c r="M721">
        <v>2</v>
      </c>
      <c r="N721">
        <v>1</v>
      </c>
      <c r="O721">
        <v>0</v>
      </c>
      <c r="Q721">
        <v>61.6</v>
      </c>
    </row>
    <row r="722" spans="1:17">
      <c r="A722" t="s">
        <v>768</v>
      </c>
      <c r="B722" s="8">
        <v>45679</v>
      </c>
      <c r="C722" t="s">
        <v>2</v>
      </c>
      <c r="D722" t="s">
        <v>44</v>
      </c>
      <c r="E722" t="s">
        <v>40</v>
      </c>
      <c r="F722" t="s">
        <v>55</v>
      </c>
      <c r="G722" t="s">
        <v>37</v>
      </c>
      <c r="H722">
        <v>1</v>
      </c>
      <c r="I722">
        <v>1</v>
      </c>
      <c r="J722">
        <v>0</v>
      </c>
      <c r="K722">
        <v>0</v>
      </c>
      <c r="L722">
        <v>0</v>
      </c>
      <c r="M722">
        <v>0</v>
      </c>
      <c r="N722">
        <v>0</v>
      </c>
      <c r="O722">
        <v>0</v>
      </c>
      <c r="Q722">
        <v>82.3</v>
      </c>
    </row>
    <row r="723" spans="1:17">
      <c r="A723" t="s">
        <v>769</v>
      </c>
      <c r="B723" s="8">
        <v>45781</v>
      </c>
      <c r="C723" t="s">
        <v>2</v>
      </c>
      <c r="D723" t="s">
        <v>44</v>
      </c>
      <c r="E723" t="s">
        <v>35</v>
      </c>
      <c r="F723" t="s">
        <v>45</v>
      </c>
      <c r="G723" t="s">
        <v>42</v>
      </c>
      <c r="H723">
        <v>1</v>
      </c>
      <c r="I723">
        <v>0</v>
      </c>
      <c r="J723">
        <v>0</v>
      </c>
      <c r="K723">
        <v>0</v>
      </c>
      <c r="L723">
        <v>0</v>
      </c>
      <c r="M723">
        <v>0</v>
      </c>
      <c r="N723">
        <v>0</v>
      </c>
      <c r="O723">
        <v>0</v>
      </c>
      <c r="Q723">
        <v>79.3</v>
      </c>
    </row>
    <row r="724" spans="1:17">
      <c r="A724" t="s">
        <v>770</v>
      </c>
      <c r="B724" s="8">
        <v>45729</v>
      </c>
      <c r="C724" t="s">
        <v>2</v>
      </c>
      <c r="D724" t="s">
        <v>48</v>
      </c>
      <c r="E724" t="s">
        <v>40</v>
      </c>
      <c r="G724" t="s">
        <v>42</v>
      </c>
      <c r="H724">
        <v>0</v>
      </c>
      <c r="I724">
        <v>0</v>
      </c>
      <c r="J724">
        <v>0</v>
      </c>
      <c r="K724">
        <v>0</v>
      </c>
      <c r="L724">
        <v>0</v>
      </c>
      <c r="M724">
        <v>0</v>
      </c>
      <c r="N724">
        <v>0</v>
      </c>
      <c r="O724">
        <v>0</v>
      </c>
      <c r="Q724">
        <v>57.7</v>
      </c>
    </row>
    <row r="725" spans="1:17">
      <c r="A725" t="s">
        <v>771</v>
      </c>
      <c r="B725" s="8">
        <v>45659</v>
      </c>
      <c r="C725" t="s">
        <v>2</v>
      </c>
      <c r="D725" t="s">
        <v>34</v>
      </c>
      <c r="E725" t="s">
        <v>40</v>
      </c>
      <c r="F725" t="s">
        <v>41</v>
      </c>
      <c r="G725" t="s">
        <v>37</v>
      </c>
      <c r="H725">
        <v>1</v>
      </c>
      <c r="I725">
        <v>0</v>
      </c>
      <c r="J725">
        <v>0</v>
      </c>
      <c r="K725">
        <v>0</v>
      </c>
      <c r="L725">
        <v>0</v>
      </c>
      <c r="M725">
        <v>0</v>
      </c>
      <c r="N725">
        <v>0</v>
      </c>
      <c r="O725">
        <v>0</v>
      </c>
      <c r="Q725">
        <v>63.1</v>
      </c>
    </row>
    <row r="726" spans="1:17">
      <c r="A726" t="s">
        <v>772</v>
      </c>
      <c r="B726" s="8">
        <v>45670</v>
      </c>
      <c r="C726" t="s">
        <v>2</v>
      </c>
      <c r="D726" t="s">
        <v>44</v>
      </c>
      <c r="E726" t="s">
        <v>40</v>
      </c>
      <c r="F726" t="s">
        <v>45</v>
      </c>
      <c r="G726" t="s">
        <v>37</v>
      </c>
      <c r="H726">
        <v>0</v>
      </c>
      <c r="I726">
        <v>0</v>
      </c>
      <c r="J726">
        <v>0</v>
      </c>
      <c r="K726">
        <v>0</v>
      </c>
      <c r="L726">
        <v>0</v>
      </c>
      <c r="M726">
        <v>0</v>
      </c>
      <c r="N726">
        <v>0</v>
      </c>
      <c r="O726">
        <v>0</v>
      </c>
      <c r="Q726">
        <v>72.3</v>
      </c>
    </row>
    <row r="727" spans="1:17">
      <c r="A727" t="s">
        <v>773</v>
      </c>
      <c r="B727" s="8">
        <v>45697</v>
      </c>
      <c r="C727" t="s">
        <v>2</v>
      </c>
      <c r="D727" t="s">
        <v>44</v>
      </c>
      <c r="E727" t="s">
        <v>40</v>
      </c>
      <c r="F727" t="s">
        <v>57</v>
      </c>
      <c r="G727" t="s">
        <v>42</v>
      </c>
      <c r="H727">
        <v>1</v>
      </c>
      <c r="I727">
        <v>1</v>
      </c>
      <c r="J727">
        <v>1</v>
      </c>
      <c r="K727">
        <v>0</v>
      </c>
      <c r="L727">
        <v>0</v>
      </c>
      <c r="M727">
        <v>0</v>
      </c>
      <c r="N727">
        <v>0</v>
      </c>
      <c r="O727">
        <v>0</v>
      </c>
      <c r="Q727">
        <v>78</v>
      </c>
    </row>
    <row r="728" spans="1:17">
      <c r="A728" t="s">
        <v>774</v>
      </c>
      <c r="B728" s="8">
        <v>45756</v>
      </c>
      <c r="C728" t="s">
        <v>2</v>
      </c>
      <c r="D728" t="s">
        <v>44</v>
      </c>
      <c r="E728" t="s">
        <v>35</v>
      </c>
      <c r="F728" t="s">
        <v>57</v>
      </c>
      <c r="G728" t="s">
        <v>42</v>
      </c>
      <c r="H728">
        <v>1</v>
      </c>
      <c r="I728">
        <v>1</v>
      </c>
      <c r="J728">
        <v>0</v>
      </c>
      <c r="K728">
        <v>0</v>
      </c>
      <c r="L728">
        <v>0</v>
      </c>
      <c r="M728">
        <v>2</v>
      </c>
      <c r="N728">
        <v>1</v>
      </c>
      <c r="O728">
        <v>0</v>
      </c>
      <c r="Q728">
        <v>59.1</v>
      </c>
    </row>
    <row r="729" spans="1:17">
      <c r="A729" t="s">
        <v>775</v>
      </c>
      <c r="B729" s="8">
        <v>45659</v>
      </c>
      <c r="C729" t="s">
        <v>2</v>
      </c>
      <c r="D729" t="s">
        <v>48</v>
      </c>
      <c r="E729" t="s">
        <v>40</v>
      </c>
      <c r="F729" t="s">
        <v>45</v>
      </c>
      <c r="G729" t="s">
        <v>42</v>
      </c>
      <c r="H729">
        <v>1</v>
      </c>
      <c r="I729">
        <v>1</v>
      </c>
      <c r="J729">
        <v>1</v>
      </c>
      <c r="K729">
        <v>1</v>
      </c>
      <c r="L729">
        <v>604.09</v>
      </c>
      <c r="M729">
        <v>0</v>
      </c>
      <c r="N729">
        <v>0</v>
      </c>
      <c r="O729">
        <v>0</v>
      </c>
      <c r="P729">
        <v>7</v>
      </c>
      <c r="Q729">
        <v>47.1</v>
      </c>
    </row>
    <row r="730" spans="1:17">
      <c r="A730" t="s">
        <v>776</v>
      </c>
      <c r="B730" s="8">
        <v>45692</v>
      </c>
      <c r="C730" t="s">
        <v>2</v>
      </c>
      <c r="D730" t="s">
        <v>48</v>
      </c>
      <c r="E730" t="s">
        <v>40</v>
      </c>
      <c r="G730" t="s">
        <v>46</v>
      </c>
      <c r="H730">
        <v>1</v>
      </c>
      <c r="I730">
        <v>0</v>
      </c>
      <c r="J730">
        <v>0</v>
      </c>
      <c r="K730">
        <v>0</v>
      </c>
      <c r="L730">
        <v>0</v>
      </c>
      <c r="M730">
        <v>0</v>
      </c>
      <c r="N730">
        <v>0</v>
      </c>
      <c r="O730">
        <v>0</v>
      </c>
      <c r="Q730">
        <v>64.900000000000006</v>
      </c>
    </row>
    <row r="731" spans="1:17">
      <c r="A731" t="s">
        <v>777</v>
      </c>
      <c r="B731" s="8">
        <v>45707</v>
      </c>
      <c r="C731" t="s">
        <v>2</v>
      </c>
      <c r="D731" t="s">
        <v>48</v>
      </c>
      <c r="E731" t="s">
        <v>50</v>
      </c>
      <c r="F731" t="s">
        <v>45</v>
      </c>
      <c r="G731" t="s">
        <v>42</v>
      </c>
      <c r="H731">
        <v>0</v>
      </c>
      <c r="I731">
        <v>0</v>
      </c>
      <c r="J731">
        <v>0</v>
      </c>
      <c r="K731">
        <v>0</v>
      </c>
      <c r="L731">
        <v>0</v>
      </c>
      <c r="M731">
        <v>0</v>
      </c>
      <c r="N731">
        <v>0</v>
      </c>
      <c r="O731">
        <v>0</v>
      </c>
      <c r="Q731">
        <v>67.3</v>
      </c>
    </row>
    <row r="732" spans="1:17">
      <c r="A732" t="s">
        <v>778</v>
      </c>
      <c r="B732" s="8">
        <v>45748</v>
      </c>
      <c r="C732" t="s">
        <v>2</v>
      </c>
      <c r="D732" t="s">
        <v>44</v>
      </c>
      <c r="E732" t="s">
        <v>40</v>
      </c>
      <c r="F732" t="s">
        <v>45</v>
      </c>
      <c r="G732" t="s">
        <v>37</v>
      </c>
      <c r="H732">
        <v>1</v>
      </c>
      <c r="I732">
        <v>0</v>
      </c>
      <c r="J732">
        <v>0</v>
      </c>
      <c r="K732">
        <v>0</v>
      </c>
      <c r="L732">
        <v>0</v>
      </c>
      <c r="M732">
        <v>2</v>
      </c>
      <c r="N732">
        <v>1</v>
      </c>
      <c r="O732">
        <v>0</v>
      </c>
      <c r="Q732">
        <v>52.9</v>
      </c>
    </row>
    <row r="733" spans="1:17">
      <c r="A733" t="s">
        <v>779</v>
      </c>
      <c r="B733" s="8">
        <v>45686</v>
      </c>
      <c r="C733" t="s">
        <v>2</v>
      </c>
      <c r="D733" t="s">
        <v>34</v>
      </c>
      <c r="E733" t="s">
        <v>40</v>
      </c>
      <c r="F733" t="s">
        <v>55</v>
      </c>
      <c r="G733" t="s">
        <v>42</v>
      </c>
      <c r="H733">
        <v>1</v>
      </c>
      <c r="I733">
        <v>1</v>
      </c>
      <c r="J733">
        <v>1</v>
      </c>
      <c r="K733">
        <v>1</v>
      </c>
      <c r="L733">
        <v>442.37</v>
      </c>
      <c r="M733">
        <v>1</v>
      </c>
      <c r="N733">
        <v>1</v>
      </c>
      <c r="O733">
        <v>0</v>
      </c>
      <c r="P733">
        <v>4</v>
      </c>
      <c r="Q733">
        <v>69.900000000000006</v>
      </c>
    </row>
    <row r="734" spans="1:17">
      <c r="A734" t="s">
        <v>780</v>
      </c>
      <c r="B734" s="8">
        <v>45795</v>
      </c>
      <c r="C734" t="s">
        <v>2</v>
      </c>
      <c r="D734" t="s">
        <v>34</v>
      </c>
      <c r="E734" t="s">
        <v>40</v>
      </c>
      <c r="F734" t="s">
        <v>55</v>
      </c>
      <c r="G734" t="s">
        <v>37</v>
      </c>
      <c r="H734">
        <v>1</v>
      </c>
      <c r="I734">
        <v>1</v>
      </c>
      <c r="J734">
        <v>1</v>
      </c>
      <c r="K734">
        <v>0</v>
      </c>
      <c r="L734">
        <v>0</v>
      </c>
      <c r="M734">
        <v>0</v>
      </c>
      <c r="N734">
        <v>0</v>
      </c>
      <c r="O734">
        <v>0</v>
      </c>
      <c r="Q734">
        <v>78.900000000000006</v>
      </c>
    </row>
    <row r="735" spans="1:17">
      <c r="A735" t="s">
        <v>781</v>
      </c>
      <c r="B735" s="8">
        <v>45762</v>
      </c>
      <c r="C735" t="s">
        <v>2</v>
      </c>
      <c r="D735" t="s">
        <v>44</v>
      </c>
      <c r="E735" t="s">
        <v>35</v>
      </c>
      <c r="F735" t="s">
        <v>57</v>
      </c>
      <c r="G735" t="s">
        <v>46</v>
      </c>
      <c r="H735">
        <v>1</v>
      </c>
      <c r="I735">
        <v>1</v>
      </c>
      <c r="J735">
        <v>0</v>
      </c>
      <c r="K735">
        <v>0</v>
      </c>
      <c r="L735">
        <v>0</v>
      </c>
      <c r="M735">
        <v>0</v>
      </c>
      <c r="N735">
        <v>0</v>
      </c>
      <c r="O735">
        <v>0</v>
      </c>
      <c r="Q735">
        <v>83.3</v>
      </c>
    </row>
    <row r="736" spans="1:17">
      <c r="A736" t="s">
        <v>782</v>
      </c>
      <c r="B736" s="8">
        <v>45744</v>
      </c>
      <c r="C736" t="s">
        <v>2</v>
      </c>
      <c r="D736" t="s">
        <v>44</v>
      </c>
      <c r="E736" t="s">
        <v>35</v>
      </c>
      <c r="F736" t="s">
        <v>36</v>
      </c>
      <c r="G736" t="s">
        <v>42</v>
      </c>
      <c r="H736">
        <v>1</v>
      </c>
      <c r="I736">
        <v>0</v>
      </c>
      <c r="J736">
        <v>0</v>
      </c>
      <c r="K736">
        <v>0</v>
      </c>
      <c r="L736">
        <v>0</v>
      </c>
      <c r="M736">
        <v>1</v>
      </c>
      <c r="N736">
        <v>1</v>
      </c>
      <c r="O736">
        <v>0</v>
      </c>
      <c r="Q736">
        <v>24.5</v>
      </c>
    </row>
    <row r="737" spans="1:17">
      <c r="A737" t="s">
        <v>783</v>
      </c>
      <c r="B737" s="8">
        <v>45748</v>
      </c>
      <c r="C737" t="s">
        <v>2</v>
      </c>
      <c r="D737" t="s">
        <v>39</v>
      </c>
      <c r="E737" t="s">
        <v>40</v>
      </c>
      <c r="F737" t="s">
        <v>45</v>
      </c>
      <c r="G737" t="s">
        <v>37</v>
      </c>
      <c r="H737">
        <v>1</v>
      </c>
      <c r="I737">
        <v>1</v>
      </c>
      <c r="J737">
        <v>0</v>
      </c>
      <c r="K737">
        <v>0</v>
      </c>
      <c r="L737">
        <v>0</v>
      </c>
      <c r="M737">
        <v>1</v>
      </c>
      <c r="N737">
        <v>1</v>
      </c>
      <c r="O737">
        <v>0</v>
      </c>
      <c r="Q737">
        <v>56.9</v>
      </c>
    </row>
    <row r="738" spans="1:17">
      <c r="A738" t="s">
        <v>784</v>
      </c>
      <c r="B738" s="8">
        <v>45699</v>
      </c>
      <c r="C738" t="s">
        <v>2</v>
      </c>
      <c r="D738" t="s">
        <v>39</v>
      </c>
      <c r="E738" t="s">
        <v>40</v>
      </c>
      <c r="F738" t="s">
        <v>57</v>
      </c>
      <c r="G738" t="s">
        <v>37</v>
      </c>
      <c r="H738">
        <v>1</v>
      </c>
      <c r="I738">
        <v>0</v>
      </c>
      <c r="J738">
        <v>0</v>
      </c>
      <c r="K738">
        <v>0</v>
      </c>
      <c r="L738">
        <v>0</v>
      </c>
      <c r="M738">
        <v>0</v>
      </c>
      <c r="N738">
        <v>0</v>
      </c>
      <c r="O738">
        <v>0</v>
      </c>
      <c r="Q738">
        <v>69.900000000000006</v>
      </c>
    </row>
    <row r="739" spans="1:17">
      <c r="A739" t="s">
        <v>785</v>
      </c>
      <c r="B739" s="8">
        <v>45720</v>
      </c>
      <c r="C739" t="s">
        <v>2</v>
      </c>
      <c r="D739" t="s">
        <v>48</v>
      </c>
      <c r="E739" t="s">
        <v>40</v>
      </c>
      <c r="F739" t="s">
        <v>41</v>
      </c>
      <c r="G739" t="s">
        <v>42</v>
      </c>
      <c r="H739">
        <v>1</v>
      </c>
      <c r="I739">
        <v>1</v>
      </c>
      <c r="J739">
        <v>1</v>
      </c>
      <c r="K739">
        <v>0</v>
      </c>
      <c r="L739">
        <v>0</v>
      </c>
      <c r="M739">
        <v>0</v>
      </c>
      <c r="N739">
        <v>0</v>
      </c>
      <c r="O739">
        <v>0</v>
      </c>
      <c r="Q739">
        <v>81.5</v>
      </c>
    </row>
    <row r="740" spans="1:17">
      <c r="A740" t="s">
        <v>786</v>
      </c>
      <c r="B740" s="8">
        <v>45678</v>
      </c>
      <c r="C740" t="s">
        <v>2</v>
      </c>
      <c r="D740" t="s">
        <v>34</v>
      </c>
      <c r="E740" t="s">
        <v>50</v>
      </c>
      <c r="F740" t="s">
        <v>57</v>
      </c>
      <c r="G740" t="s">
        <v>37</v>
      </c>
      <c r="H740">
        <v>0</v>
      </c>
      <c r="I740">
        <v>0</v>
      </c>
      <c r="J740">
        <v>0</v>
      </c>
      <c r="K740">
        <v>0</v>
      </c>
      <c r="L740">
        <v>0</v>
      </c>
      <c r="M740">
        <v>2</v>
      </c>
      <c r="N740">
        <v>1</v>
      </c>
      <c r="O740">
        <v>0</v>
      </c>
      <c r="Q740">
        <v>37.9</v>
      </c>
    </row>
    <row r="741" spans="1:17">
      <c r="A741" t="s">
        <v>787</v>
      </c>
      <c r="B741" s="8">
        <v>45702</v>
      </c>
      <c r="C741" t="s">
        <v>2</v>
      </c>
      <c r="D741" t="s">
        <v>34</v>
      </c>
      <c r="E741" t="s">
        <v>40</v>
      </c>
      <c r="F741" t="s">
        <v>55</v>
      </c>
      <c r="G741" t="s">
        <v>42</v>
      </c>
      <c r="H741">
        <v>0</v>
      </c>
      <c r="I741">
        <v>0</v>
      </c>
      <c r="J741">
        <v>0</v>
      </c>
      <c r="K741">
        <v>0</v>
      </c>
      <c r="L741">
        <v>0</v>
      </c>
      <c r="M741">
        <v>1</v>
      </c>
      <c r="N741">
        <v>1</v>
      </c>
      <c r="O741">
        <v>0</v>
      </c>
      <c r="Q741">
        <v>61.7</v>
      </c>
    </row>
    <row r="742" spans="1:17">
      <c r="A742" t="s">
        <v>788</v>
      </c>
      <c r="B742" s="8">
        <v>45746</v>
      </c>
      <c r="C742" t="s">
        <v>2</v>
      </c>
      <c r="D742" t="s">
        <v>34</v>
      </c>
      <c r="E742" t="s">
        <v>35</v>
      </c>
      <c r="G742" t="s">
        <v>46</v>
      </c>
      <c r="H742">
        <v>1</v>
      </c>
      <c r="I742">
        <v>0</v>
      </c>
      <c r="J742">
        <v>0</v>
      </c>
      <c r="K742">
        <v>0</v>
      </c>
      <c r="L742">
        <v>0</v>
      </c>
      <c r="M742">
        <v>2</v>
      </c>
      <c r="N742">
        <v>1</v>
      </c>
      <c r="O742">
        <v>0</v>
      </c>
      <c r="Q742">
        <v>53.2</v>
      </c>
    </row>
    <row r="743" spans="1:17">
      <c r="A743" t="s">
        <v>789</v>
      </c>
      <c r="B743" s="8">
        <v>45665</v>
      </c>
      <c r="C743" t="s">
        <v>2</v>
      </c>
      <c r="D743" t="s">
        <v>34</v>
      </c>
      <c r="E743" t="s">
        <v>40</v>
      </c>
      <c r="F743" t="s">
        <v>55</v>
      </c>
      <c r="G743" t="s">
        <v>42</v>
      </c>
      <c r="H743">
        <v>0</v>
      </c>
      <c r="I743">
        <v>0</v>
      </c>
      <c r="J743">
        <v>0</v>
      </c>
      <c r="K743">
        <v>0</v>
      </c>
      <c r="L743">
        <v>0</v>
      </c>
      <c r="M743">
        <v>0</v>
      </c>
      <c r="N743">
        <v>0</v>
      </c>
      <c r="O743">
        <v>0</v>
      </c>
      <c r="Q743">
        <v>61.9</v>
      </c>
    </row>
    <row r="744" spans="1:17">
      <c r="A744" t="s">
        <v>790</v>
      </c>
      <c r="B744" s="8">
        <v>45695</v>
      </c>
      <c r="C744" t="s">
        <v>2</v>
      </c>
      <c r="D744" t="s">
        <v>34</v>
      </c>
      <c r="E744" t="s">
        <v>40</v>
      </c>
      <c r="F744" t="s">
        <v>57</v>
      </c>
      <c r="G744" t="s">
        <v>42</v>
      </c>
      <c r="H744">
        <v>1</v>
      </c>
      <c r="I744">
        <v>1</v>
      </c>
      <c r="J744">
        <v>1</v>
      </c>
      <c r="K744">
        <v>0</v>
      </c>
      <c r="L744">
        <v>0</v>
      </c>
      <c r="M744">
        <v>0</v>
      </c>
      <c r="N744">
        <v>0</v>
      </c>
      <c r="O744">
        <v>0</v>
      </c>
      <c r="Q744">
        <v>68.900000000000006</v>
      </c>
    </row>
    <row r="745" spans="1:17">
      <c r="A745" t="s">
        <v>791</v>
      </c>
      <c r="B745" s="8">
        <v>45689</v>
      </c>
      <c r="C745" t="s">
        <v>2</v>
      </c>
      <c r="D745" t="s">
        <v>34</v>
      </c>
      <c r="E745" t="s">
        <v>50</v>
      </c>
      <c r="F745" t="s">
        <v>45</v>
      </c>
      <c r="G745" t="s">
        <v>37</v>
      </c>
      <c r="H745">
        <v>0</v>
      </c>
      <c r="I745">
        <v>0</v>
      </c>
      <c r="J745">
        <v>0</v>
      </c>
      <c r="K745">
        <v>0</v>
      </c>
      <c r="L745">
        <v>0</v>
      </c>
      <c r="M745">
        <v>0</v>
      </c>
      <c r="N745">
        <v>0</v>
      </c>
      <c r="O745">
        <v>0</v>
      </c>
      <c r="Q745">
        <v>66.3</v>
      </c>
    </row>
    <row r="746" spans="1:17">
      <c r="A746" t="s">
        <v>792</v>
      </c>
      <c r="B746" s="8">
        <v>45661</v>
      </c>
      <c r="C746" t="s">
        <v>2</v>
      </c>
      <c r="D746" t="s">
        <v>44</v>
      </c>
      <c r="E746" t="s">
        <v>40</v>
      </c>
      <c r="F746" t="s">
        <v>36</v>
      </c>
      <c r="G746" t="s">
        <v>42</v>
      </c>
      <c r="H746">
        <v>1</v>
      </c>
      <c r="I746">
        <v>1</v>
      </c>
      <c r="J746">
        <v>1</v>
      </c>
      <c r="K746">
        <v>0</v>
      </c>
      <c r="L746">
        <v>0</v>
      </c>
      <c r="M746">
        <v>0</v>
      </c>
      <c r="N746">
        <v>0</v>
      </c>
      <c r="O746">
        <v>0</v>
      </c>
      <c r="Q746">
        <v>54.6</v>
      </c>
    </row>
    <row r="747" spans="1:17">
      <c r="A747" t="s">
        <v>793</v>
      </c>
      <c r="B747" s="8">
        <v>45793</v>
      </c>
      <c r="C747" t="s">
        <v>2</v>
      </c>
      <c r="D747" t="s">
        <v>48</v>
      </c>
      <c r="E747" t="s">
        <v>35</v>
      </c>
      <c r="F747" t="s">
        <v>55</v>
      </c>
      <c r="G747" t="s">
        <v>42</v>
      </c>
      <c r="H747">
        <v>0</v>
      </c>
      <c r="I747">
        <v>0</v>
      </c>
      <c r="J747">
        <v>0</v>
      </c>
      <c r="K747">
        <v>0</v>
      </c>
      <c r="L747">
        <v>0</v>
      </c>
      <c r="M747">
        <v>0</v>
      </c>
      <c r="N747">
        <v>0</v>
      </c>
      <c r="O747">
        <v>0</v>
      </c>
      <c r="Q747">
        <v>53.8</v>
      </c>
    </row>
    <row r="748" spans="1:17">
      <c r="A748" t="s">
        <v>794</v>
      </c>
      <c r="B748" s="8">
        <v>45716</v>
      </c>
      <c r="C748" t="s">
        <v>2</v>
      </c>
      <c r="D748" t="s">
        <v>39</v>
      </c>
      <c r="E748" t="s">
        <v>40</v>
      </c>
      <c r="F748" t="s">
        <v>55</v>
      </c>
      <c r="G748" t="s">
        <v>42</v>
      </c>
      <c r="H748">
        <v>1</v>
      </c>
      <c r="I748">
        <v>0</v>
      </c>
      <c r="J748">
        <v>0</v>
      </c>
      <c r="K748">
        <v>0</v>
      </c>
      <c r="L748">
        <v>0</v>
      </c>
      <c r="M748">
        <v>0</v>
      </c>
      <c r="N748">
        <v>0</v>
      </c>
      <c r="O748">
        <v>0</v>
      </c>
      <c r="Q748">
        <v>59.5</v>
      </c>
    </row>
    <row r="749" spans="1:17">
      <c r="A749" t="s">
        <v>795</v>
      </c>
      <c r="B749" s="8">
        <v>45759</v>
      </c>
      <c r="C749" t="s">
        <v>2</v>
      </c>
      <c r="D749" t="s">
        <v>34</v>
      </c>
      <c r="E749" t="s">
        <v>40</v>
      </c>
      <c r="F749" t="s">
        <v>55</v>
      </c>
      <c r="G749" t="s">
        <v>42</v>
      </c>
      <c r="H749">
        <v>1</v>
      </c>
      <c r="I749">
        <v>0</v>
      </c>
      <c r="J749">
        <v>0</v>
      </c>
      <c r="K749">
        <v>0</v>
      </c>
      <c r="L749">
        <v>0</v>
      </c>
      <c r="M749">
        <v>0</v>
      </c>
      <c r="N749">
        <v>0</v>
      </c>
      <c r="O749">
        <v>0</v>
      </c>
      <c r="Q749">
        <v>52.6</v>
      </c>
    </row>
    <row r="750" spans="1:17">
      <c r="A750" t="s">
        <v>796</v>
      </c>
      <c r="B750" s="8">
        <v>45739</v>
      </c>
      <c r="C750" t="s">
        <v>2</v>
      </c>
      <c r="D750" t="s">
        <v>48</v>
      </c>
      <c r="E750" t="s">
        <v>35</v>
      </c>
      <c r="F750" t="s">
        <v>41</v>
      </c>
      <c r="G750" t="s">
        <v>42</v>
      </c>
      <c r="H750">
        <v>0</v>
      </c>
      <c r="I750">
        <v>0</v>
      </c>
      <c r="J750">
        <v>0</v>
      </c>
      <c r="K750">
        <v>0</v>
      </c>
      <c r="L750">
        <v>0</v>
      </c>
      <c r="M750">
        <v>0</v>
      </c>
      <c r="N750">
        <v>0</v>
      </c>
      <c r="O750">
        <v>0</v>
      </c>
      <c r="Q750">
        <v>49</v>
      </c>
    </row>
    <row r="751" spans="1:17">
      <c r="A751" t="s">
        <v>797</v>
      </c>
      <c r="B751" s="8">
        <v>45806</v>
      </c>
      <c r="C751" t="s">
        <v>2</v>
      </c>
      <c r="D751" t="s">
        <v>34</v>
      </c>
      <c r="E751" t="s">
        <v>50</v>
      </c>
      <c r="F751" t="s">
        <v>41</v>
      </c>
      <c r="G751" t="s">
        <v>42</v>
      </c>
      <c r="H751">
        <v>1</v>
      </c>
      <c r="I751">
        <v>0</v>
      </c>
      <c r="J751">
        <v>0</v>
      </c>
      <c r="K751">
        <v>0</v>
      </c>
      <c r="L751">
        <v>0</v>
      </c>
      <c r="M751">
        <v>0</v>
      </c>
      <c r="N751">
        <v>0</v>
      </c>
      <c r="O751">
        <v>0</v>
      </c>
      <c r="Q751">
        <v>59.3</v>
      </c>
    </row>
    <row r="752" spans="1:17">
      <c r="A752" t="s">
        <v>798</v>
      </c>
      <c r="B752" s="8">
        <v>45798</v>
      </c>
      <c r="C752" t="s">
        <v>2</v>
      </c>
      <c r="D752" t="s">
        <v>48</v>
      </c>
      <c r="E752" t="s">
        <v>35</v>
      </c>
      <c r="F752" t="s">
        <v>41</v>
      </c>
      <c r="G752" t="s">
        <v>37</v>
      </c>
      <c r="H752">
        <v>0</v>
      </c>
      <c r="I752">
        <v>0</v>
      </c>
      <c r="J752">
        <v>0</v>
      </c>
      <c r="K752">
        <v>0</v>
      </c>
      <c r="L752">
        <v>0</v>
      </c>
      <c r="M752">
        <v>0</v>
      </c>
      <c r="N752">
        <v>0</v>
      </c>
      <c r="O752">
        <v>0</v>
      </c>
      <c r="Q752">
        <v>67.2</v>
      </c>
    </row>
    <row r="753" spans="1:17">
      <c r="A753" t="s">
        <v>799</v>
      </c>
      <c r="B753" s="8">
        <v>45662</v>
      </c>
      <c r="C753" t="s">
        <v>2</v>
      </c>
      <c r="D753" t="s">
        <v>48</v>
      </c>
      <c r="E753" t="s">
        <v>40</v>
      </c>
      <c r="F753" t="s">
        <v>55</v>
      </c>
      <c r="G753" t="s">
        <v>46</v>
      </c>
      <c r="H753">
        <v>0</v>
      </c>
      <c r="I753">
        <v>0</v>
      </c>
      <c r="J753">
        <v>0</v>
      </c>
      <c r="K753">
        <v>0</v>
      </c>
      <c r="L753">
        <v>0</v>
      </c>
      <c r="M753">
        <v>0</v>
      </c>
      <c r="N753">
        <v>0</v>
      </c>
      <c r="O753">
        <v>0</v>
      </c>
      <c r="Q753">
        <v>73.5</v>
      </c>
    </row>
    <row r="754" spans="1:17">
      <c r="A754" t="s">
        <v>800</v>
      </c>
      <c r="B754" s="8">
        <v>45735</v>
      </c>
      <c r="C754" t="s">
        <v>2</v>
      </c>
      <c r="D754" t="s">
        <v>44</v>
      </c>
      <c r="E754" t="s">
        <v>50</v>
      </c>
      <c r="F754" t="s">
        <v>41</v>
      </c>
      <c r="G754" t="s">
        <v>42</v>
      </c>
      <c r="H754">
        <v>1</v>
      </c>
      <c r="I754">
        <v>0</v>
      </c>
      <c r="J754">
        <v>0</v>
      </c>
      <c r="K754">
        <v>0</v>
      </c>
      <c r="L754">
        <v>0</v>
      </c>
      <c r="M754">
        <v>0</v>
      </c>
      <c r="N754">
        <v>0</v>
      </c>
      <c r="O754">
        <v>0</v>
      </c>
      <c r="Q754">
        <v>61.2</v>
      </c>
    </row>
    <row r="755" spans="1:17">
      <c r="A755" t="s">
        <v>801</v>
      </c>
      <c r="B755" s="8">
        <v>45771</v>
      </c>
      <c r="C755" t="s">
        <v>2</v>
      </c>
      <c r="D755" t="s">
        <v>44</v>
      </c>
      <c r="E755" t="s">
        <v>40</v>
      </c>
      <c r="F755" t="s">
        <v>41</v>
      </c>
      <c r="G755" t="s">
        <v>42</v>
      </c>
      <c r="H755">
        <v>1</v>
      </c>
      <c r="I755">
        <v>0</v>
      </c>
      <c r="J755">
        <v>0</v>
      </c>
      <c r="K755">
        <v>0</v>
      </c>
      <c r="L755">
        <v>0</v>
      </c>
      <c r="M755">
        <v>1</v>
      </c>
      <c r="N755">
        <v>1</v>
      </c>
      <c r="O755">
        <v>0</v>
      </c>
      <c r="Q755">
        <v>56.4</v>
      </c>
    </row>
    <row r="756" spans="1:17">
      <c r="A756" t="s">
        <v>802</v>
      </c>
      <c r="B756" s="8">
        <v>45726</v>
      </c>
      <c r="C756" t="s">
        <v>2</v>
      </c>
      <c r="D756" t="s">
        <v>34</v>
      </c>
      <c r="E756" t="s">
        <v>50</v>
      </c>
      <c r="F756" t="s">
        <v>41</v>
      </c>
      <c r="G756" t="s">
        <v>42</v>
      </c>
      <c r="H756">
        <v>0</v>
      </c>
      <c r="I756">
        <v>0</v>
      </c>
      <c r="J756">
        <v>0</v>
      </c>
      <c r="K756">
        <v>0</v>
      </c>
      <c r="L756">
        <v>0</v>
      </c>
      <c r="M756">
        <v>3</v>
      </c>
      <c r="N756">
        <v>1</v>
      </c>
      <c r="O756">
        <v>0</v>
      </c>
      <c r="Q756">
        <v>72.599999999999994</v>
      </c>
    </row>
    <row r="757" spans="1:17">
      <c r="A757" t="s">
        <v>803</v>
      </c>
      <c r="B757" s="8">
        <v>45710</v>
      </c>
      <c r="C757" t="s">
        <v>2</v>
      </c>
      <c r="D757" t="s">
        <v>48</v>
      </c>
      <c r="E757" t="s">
        <v>50</v>
      </c>
      <c r="F757" t="s">
        <v>55</v>
      </c>
      <c r="G757" t="s">
        <v>37</v>
      </c>
      <c r="H757">
        <v>1</v>
      </c>
      <c r="I757">
        <v>0</v>
      </c>
      <c r="J757">
        <v>0</v>
      </c>
      <c r="K757">
        <v>0</v>
      </c>
      <c r="L757">
        <v>0</v>
      </c>
      <c r="M757">
        <v>0</v>
      </c>
      <c r="N757">
        <v>0</v>
      </c>
      <c r="O757">
        <v>0</v>
      </c>
      <c r="Q757">
        <v>61.7</v>
      </c>
    </row>
    <row r="758" spans="1:17">
      <c r="A758" t="s">
        <v>804</v>
      </c>
      <c r="B758" s="8">
        <v>45794</v>
      </c>
      <c r="C758" t="s">
        <v>2</v>
      </c>
      <c r="D758" t="s">
        <v>44</v>
      </c>
      <c r="E758" t="s">
        <v>40</v>
      </c>
      <c r="F758" t="s">
        <v>57</v>
      </c>
      <c r="G758" t="s">
        <v>42</v>
      </c>
      <c r="H758">
        <v>0</v>
      </c>
      <c r="I758">
        <v>0</v>
      </c>
      <c r="J758">
        <v>0</v>
      </c>
      <c r="K758">
        <v>0</v>
      </c>
      <c r="L758">
        <v>0</v>
      </c>
      <c r="M758">
        <v>1</v>
      </c>
      <c r="N758">
        <v>1</v>
      </c>
      <c r="O758">
        <v>0</v>
      </c>
      <c r="Q758">
        <v>66.900000000000006</v>
      </c>
    </row>
    <row r="759" spans="1:17">
      <c r="A759" t="s">
        <v>805</v>
      </c>
      <c r="B759" s="8">
        <v>45786</v>
      </c>
      <c r="C759" t="s">
        <v>2</v>
      </c>
      <c r="D759" t="s">
        <v>44</v>
      </c>
      <c r="E759" t="s">
        <v>50</v>
      </c>
      <c r="F759" t="s">
        <v>55</v>
      </c>
      <c r="G759" t="s">
        <v>46</v>
      </c>
      <c r="H759">
        <v>1</v>
      </c>
      <c r="I759">
        <v>1</v>
      </c>
      <c r="J759">
        <v>1</v>
      </c>
      <c r="K759">
        <v>1</v>
      </c>
      <c r="L759">
        <v>1506.24</v>
      </c>
      <c r="M759">
        <v>1</v>
      </c>
      <c r="N759">
        <v>1</v>
      </c>
      <c r="O759">
        <v>0</v>
      </c>
      <c r="P759">
        <v>7</v>
      </c>
      <c r="Q759">
        <v>64.900000000000006</v>
      </c>
    </row>
    <row r="760" spans="1:17">
      <c r="A760" t="s">
        <v>806</v>
      </c>
      <c r="B760" s="8">
        <v>45773</v>
      </c>
      <c r="C760" t="s">
        <v>2</v>
      </c>
      <c r="D760" t="s">
        <v>44</v>
      </c>
      <c r="E760" t="s">
        <v>50</v>
      </c>
      <c r="F760" t="s">
        <v>41</v>
      </c>
      <c r="G760" t="s">
        <v>46</v>
      </c>
      <c r="H760">
        <v>1</v>
      </c>
      <c r="I760">
        <v>0</v>
      </c>
      <c r="J760">
        <v>0</v>
      </c>
      <c r="K760">
        <v>0</v>
      </c>
      <c r="L760">
        <v>0</v>
      </c>
      <c r="M760">
        <v>0</v>
      </c>
      <c r="N760">
        <v>0</v>
      </c>
      <c r="O760">
        <v>0</v>
      </c>
      <c r="Q760">
        <v>57.5</v>
      </c>
    </row>
    <row r="761" spans="1:17">
      <c r="A761" t="s">
        <v>807</v>
      </c>
      <c r="B761" s="8">
        <v>45731</v>
      </c>
      <c r="C761" t="s">
        <v>2</v>
      </c>
      <c r="D761" t="s">
        <v>39</v>
      </c>
      <c r="E761" t="s">
        <v>35</v>
      </c>
      <c r="F761" t="s">
        <v>57</v>
      </c>
      <c r="G761" t="s">
        <v>42</v>
      </c>
      <c r="H761">
        <v>1</v>
      </c>
      <c r="I761">
        <v>1</v>
      </c>
      <c r="J761">
        <v>1</v>
      </c>
      <c r="K761">
        <v>0</v>
      </c>
      <c r="L761">
        <v>0</v>
      </c>
      <c r="M761">
        <v>0</v>
      </c>
      <c r="N761">
        <v>0</v>
      </c>
      <c r="O761">
        <v>0</v>
      </c>
      <c r="Q761">
        <v>76.3</v>
      </c>
    </row>
    <row r="762" spans="1:17">
      <c r="A762" t="s">
        <v>808</v>
      </c>
      <c r="B762" s="8">
        <v>45750</v>
      </c>
      <c r="C762" t="s">
        <v>2</v>
      </c>
      <c r="D762" t="s">
        <v>34</v>
      </c>
      <c r="E762" t="s">
        <v>40</v>
      </c>
      <c r="F762" t="s">
        <v>45</v>
      </c>
      <c r="G762" t="s">
        <v>42</v>
      </c>
      <c r="H762">
        <v>0</v>
      </c>
      <c r="I762">
        <v>0</v>
      </c>
      <c r="J762">
        <v>0</v>
      </c>
      <c r="K762">
        <v>0</v>
      </c>
      <c r="L762">
        <v>0</v>
      </c>
      <c r="M762">
        <v>0</v>
      </c>
      <c r="N762">
        <v>0</v>
      </c>
      <c r="O762">
        <v>0</v>
      </c>
      <c r="Q762">
        <v>47.5</v>
      </c>
    </row>
    <row r="763" spans="1:17">
      <c r="A763" t="s">
        <v>809</v>
      </c>
      <c r="B763" s="8">
        <v>45742</v>
      </c>
      <c r="C763" t="s">
        <v>2</v>
      </c>
      <c r="D763" t="s">
        <v>48</v>
      </c>
      <c r="E763" t="s">
        <v>40</v>
      </c>
      <c r="F763" t="s">
        <v>45</v>
      </c>
      <c r="G763" t="s">
        <v>42</v>
      </c>
      <c r="H763">
        <v>0</v>
      </c>
      <c r="I763">
        <v>0</v>
      </c>
      <c r="J763">
        <v>0</v>
      </c>
      <c r="K763">
        <v>0</v>
      </c>
      <c r="L763">
        <v>0</v>
      </c>
      <c r="M763">
        <v>0</v>
      </c>
      <c r="N763">
        <v>0</v>
      </c>
      <c r="O763">
        <v>0</v>
      </c>
    </row>
    <row r="764" spans="1:17">
      <c r="A764" t="s">
        <v>810</v>
      </c>
      <c r="B764" s="8">
        <v>45693</v>
      </c>
      <c r="C764" t="s">
        <v>2</v>
      </c>
      <c r="D764" t="s">
        <v>39</v>
      </c>
      <c r="E764" t="s">
        <v>35</v>
      </c>
      <c r="F764" t="s">
        <v>41</v>
      </c>
      <c r="G764" t="s">
        <v>37</v>
      </c>
      <c r="H764">
        <v>1</v>
      </c>
      <c r="I764">
        <v>1</v>
      </c>
      <c r="J764">
        <v>0</v>
      </c>
      <c r="K764">
        <v>0</v>
      </c>
      <c r="L764">
        <v>0</v>
      </c>
      <c r="M764">
        <v>2</v>
      </c>
      <c r="N764">
        <v>1</v>
      </c>
      <c r="O764">
        <v>0</v>
      </c>
      <c r="Q764">
        <v>71.599999999999994</v>
      </c>
    </row>
    <row r="765" spans="1:17">
      <c r="A765" t="s">
        <v>811</v>
      </c>
      <c r="B765" s="8">
        <v>45785</v>
      </c>
      <c r="C765" t="s">
        <v>2</v>
      </c>
      <c r="D765" t="s">
        <v>48</v>
      </c>
      <c r="E765" t="s">
        <v>40</v>
      </c>
      <c r="F765" t="s">
        <v>57</v>
      </c>
      <c r="G765" t="s">
        <v>37</v>
      </c>
      <c r="H765">
        <v>1</v>
      </c>
      <c r="I765">
        <v>1</v>
      </c>
      <c r="J765">
        <v>0</v>
      </c>
      <c r="K765">
        <v>0</v>
      </c>
      <c r="L765">
        <v>0</v>
      </c>
      <c r="M765">
        <v>0</v>
      </c>
      <c r="N765">
        <v>0</v>
      </c>
      <c r="O765">
        <v>0</v>
      </c>
      <c r="Q765">
        <v>55.8</v>
      </c>
    </row>
    <row r="766" spans="1:17">
      <c r="A766" t="s">
        <v>812</v>
      </c>
      <c r="B766" s="8">
        <v>45741</v>
      </c>
      <c r="C766" t="s">
        <v>2</v>
      </c>
      <c r="D766" t="s">
        <v>48</v>
      </c>
      <c r="E766" t="s">
        <v>35</v>
      </c>
      <c r="F766" t="s">
        <v>41</v>
      </c>
      <c r="G766" t="s">
        <v>37</v>
      </c>
      <c r="H766">
        <v>0</v>
      </c>
      <c r="I766">
        <v>0</v>
      </c>
      <c r="J766">
        <v>0</v>
      </c>
      <c r="K766">
        <v>0</v>
      </c>
      <c r="L766">
        <v>0</v>
      </c>
      <c r="M766">
        <v>1</v>
      </c>
      <c r="N766">
        <v>1</v>
      </c>
      <c r="O766">
        <v>0</v>
      </c>
      <c r="Q766">
        <v>60.1</v>
      </c>
    </row>
    <row r="767" spans="1:17">
      <c r="A767" t="s">
        <v>813</v>
      </c>
      <c r="B767" s="8">
        <v>45671</v>
      </c>
      <c r="C767" t="s">
        <v>2</v>
      </c>
      <c r="D767" t="s">
        <v>39</v>
      </c>
      <c r="F767" t="s">
        <v>36</v>
      </c>
      <c r="G767" t="s">
        <v>37</v>
      </c>
      <c r="H767">
        <v>1</v>
      </c>
      <c r="I767">
        <v>1</v>
      </c>
      <c r="J767">
        <v>1</v>
      </c>
      <c r="K767">
        <v>0</v>
      </c>
      <c r="L767">
        <v>0</v>
      </c>
      <c r="M767">
        <v>1</v>
      </c>
      <c r="N767">
        <v>1</v>
      </c>
      <c r="O767">
        <v>0</v>
      </c>
      <c r="Q767">
        <v>59.3</v>
      </c>
    </row>
    <row r="768" spans="1:17">
      <c r="A768" t="s">
        <v>814</v>
      </c>
      <c r="B768" s="8">
        <v>45742</v>
      </c>
      <c r="C768" t="s">
        <v>2</v>
      </c>
      <c r="D768" t="s">
        <v>34</v>
      </c>
      <c r="E768" t="s">
        <v>40</v>
      </c>
      <c r="F768" t="s">
        <v>41</v>
      </c>
      <c r="G768" t="s">
        <v>42</v>
      </c>
      <c r="H768">
        <v>1</v>
      </c>
      <c r="I768">
        <v>1</v>
      </c>
      <c r="J768">
        <v>0</v>
      </c>
      <c r="K768">
        <v>0</v>
      </c>
      <c r="L768">
        <v>0</v>
      </c>
      <c r="M768">
        <v>2</v>
      </c>
      <c r="N768">
        <v>1</v>
      </c>
      <c r="O768">
        <v>0</v>
      </c>
      <c r="Q768">
        <v>49.3</v>
      </c>
    </row>
    <row r="769" spans="1:17">
      <c r="A769" t="s">
        <v>815</v>
      </c>
      <c r="B769" s="8">
        <v>45673</v>
      </c>
      <c r="C769" t="s">
        <v>2</v>
      </c>
      <c r="D769" t="s">
        <v>44</v>
      </c>
      <c r="E769" t="s">
        <v>40</v>
      </c>
      <c r="F769" t="s">
        <v>55</v>
      </c>
      <c r="G769" t="s">
        <v>42</v>
      </c>
      <c r="H769">
        <v>1</v>
      </c>
      <c r="I769">
        <v>0</v>
      </c>
      <c r="J769">
        <v>0</v>
      </c>
      <c r="K769">
        <v>0</v>
      </c>
      <c r="L769">
        <v>0</v>
      </c>
      <c r="M769">
        <v>0</v>
      </c>
      <c r="N769">
        <v>0</v>
      </c>
      <c r="O769">
        <v>0</v>
      </c>
      <c r="Q769">
        <v>75</v>
      </c>
    </row>
    <row r="770" spans="1:17">
      <c r="A770" t="s">
        <v>816</v>
      </c>
      <c r="B770" s="8">
        <v>45661</v>
      </c>
      <c r="C770" t="s">
        <v>2</v>
      </c>
      <c r="D770" t="s">
        <v>44</v>
      </c>
      <c r="E770" t="s">
        <v>40</v>
      </c>
      <c r="F770" t="s">
        <v>57</v>
      </c>
      <c r="G770" t="s">
        <v>42</v>
      </c>
      <c r="H770">
        <v>1</v>
      </c>
      <c r="I770">
        <v>0</v>
      </c>
      <c r="J770">
        <v>0</v>
      </c>
      <c r="K770">
        <v>0</v>
      </c>
      <c r="L770">
        <v>0</v>
      </c>
      <c r="M770">
        <v>0</v>
      </c>
      <c r="N770">
        <v>0</v>
      </c>
      <c r="O770">
        <v>0</v>
      </c>
      <c r="Q770">
        <v>70.2</v>
      </c>
    </row>
    <row r="771" spans="1:17">
      <c r="A771" t="s">
        <v>817</v>
      </c>
      <c r="B771" s="8">
        <v>45697</v>
      </c>
      <c r="C771" t="s">
        <v>2</v>
      </c>
      <c r="D771" t="s">
        <v>48</v>
      </c>
      <c r="E771" t="s">
        <v>35</v>
      </c>
      <c r="F771" t="s">
        <v>41</v>
      </c>
      <c r="G771" t="s">
        <v>46</v>
      </c>
      <c r="H771">
        <v>1</v>
      </c>
      <c r="I771">
        <v>1</v>
      </c>
      <c r="J771">
        <v>1</v>
      </c>
      <c r="K771">
        <v>0</v>
      </c>
      <c r="L771">
        <v>0</v>
      </c>
      <c r="M771">
        <v>0</v>
      </c>
      <c r="N771">
        <v>0</v>
      </c>
      <c r="O771">
        <v>0</v>
      </c>
      <c r="Q771">
        <v>56.6</v>
      </c>
    </row>
    <row r="772" spans="1:17">
      <c r="A772" t="s">
        <v>818</v>
      </c>
      <c r="B772" s="8">
        <v>45721</v>
      </c>
      <c r="C772" t="s">
        <v>2</v>
      </c>
      <c r="D772" t="s">
        <v>44</v>
      </c>
      <c r="E772" t="s">
        <v>35</v>
      </c>
      <c r="F772" t="s">
        <v>41</v>
      </c>
      <c r="G772" t="s">
        <v>42</v>
      </c>
      <c r="H772">
        <v>1</v>
      </c>
      <c r="I772">
        <v>0</v>
      </c>
      <c r="J772">
        <v>0</v>
      </c>
      <c r="K772">
        <v>0</v>
      </c>
      <c r="L772">
        <v>0</v>
      </c>
      <c r="M772">
        <v>0</v>
      </c>
      <c r="N772">
        <v>0</v>
      </c>
      <c r="O772">
        <v>0</v>
      </c>
      <c r="Q772">
        <v>65.400000000000006</v>
      </c>
    </row>
    <row r="773" spans="1:17">
      <c r="A773" t="s">
        <v>819</v>
      </c>
      <c r="B773" s="8">
        <v>45726</v>
      </c>
      <c r="C773" t="s">
        <v>2</v>
      </c>
      <c r="D773" t="s">
        <v>44</v>
      </c>
      <c r="E773" t="s">
        <v>40</v>
      </c>
      <c r="F773" t="s">
        <v>55</v>
      </c>
      <c r="G773" t="s">
        <v>37</v>
      </c>
      <c r="H773">
        <v>1</v>
      </c>
      <c r="I773">
        <v>0</v>
      </c>
      <c r="J773">
        <v>0</v>
      </c>
      <c r="K773">
        <v>0</v>
      </c>
      <c r="L773">
        <v>0</v>
      </c>
      <c r="M773">
        <v>0</v>
      </c>
      <c r="N773">
        <v>0</v>
      </c>
      <c r="O773">
        <v>0</v>
      </c>
      <c r="Q773">
        <v>47.6</v>
      </c>
    </row>
    <row r="774" spans="1:17">
      <c r="A774" t="s">
        <v>820</v>
      </c>
      <c r="B774" s="8">
        <v>45715</v>
      </c>
      <c r="C774" t="s">
        <v>2</v>
      </c>
      <c r="D774" t="s">
        <v>44</v>
      </c>
      <c r="E774" t="s">
        <v>35</v>
      </c>
      <c r="F774" t="s">
        <v>45</v>
      </c>
      <c r="G774" t="s">
        <v>42</v>
      </c>
      <c r="H774">
        <v>1</v>
      </c>
      <c r="I774">
        <v>0</v>
      </c>
      <c r="J774">
        <v>0</v>
      </c>
      <c r="K774">
        <v>0</v>
      </c>
      <c r="L774">
        <v>0</v>
      </c>
      <c r="M774">
        <v>0</v>
      </c>
      <c r="N774">
        <v>0</v>
      </c>
      <c r="O774">
        <v>0</v>
      </c>
      <c r="Q774">
        <v>56.7</v>
      </c>
    </row>
    <row r="775" spans="1:17">
      <c r="A775" t="s">
        <v>821</v>
      </c>
      <c r="B775" s="8">
        <v>45726</v>
      </c>
      <c r="C775" t="s">
        <v>2</v>
      </c>
      <c r="D775" t="s">
        <v>34</v>
      </c>
      <c r="E775" t="s">
        <v>35</v>
      </c>
      <c r="F775" t="s">
        <v>55</v>
      </c>
      <c r="G775" t="s">
        <v>37</v>
      </c>
      <c r="H775">
        <v>1</v>
      </c>
      <c r="I775">
        <v>1</v>
      </c>
      <c r="J775">
        <v>0</v>
      </c>
      <c r="K775">
        <v>0</v>
      </c>
      <c r="L775">
        <v>0</v>
      </c>
      <c r="M775">
        <v>0</v>
      </c>
      <c r="N775">
        <v>0</v>
      </c>
      <c r="O775">
        <v>0</v>
      </c>
      <c r="Q775">
        <v>71.400000000000006</v>
      </c>
    </row>
    <row r="776" spans="1:17">
      <c r="A776" t="s">
        <v>822</v>
      </c>
      <c r="B776" s="8">
        <v>45770</v>
      </c>
      <c r="C776" t="s">
        <v>2</v>
      </c>
      <c r="D776" t="s">
        <v>39</v>
      </c>
      <c r="E776" t="s">
        <v>40</v>
      </c>
      <c r="F776" t="s">
        <v>57</v>
      </c>
      <c r="G776" t="s">
        <v>42</v>
      </c>
      <c r="H776">
        <v>0</v>
      </c>
      <c r="I776">
        <v>0</v>
      </c>
      <c r="J776">
        <v>0</v>
      </c>
      <c r="K776">
        <v>0</v>
      </c>
      <c r="L776">
        <v>0</v>
      </c>
      <c r="M776">
        <v>2</v>
      </c>
      <c r="N776">
        <v>1</v>
      </c>
      <c r="O776">
        <v>0</v>
      </c>
      <c r="Q776">
        <v>60.5</v>
      </c>
    </row>
    <row r="777" spans="1:17">
      <c r="A777" t="s">
        <v>823</v>
      </c>
      <c r="B777" s="8">
        <v>45759</v>
      </c>
      <c r="C777" t="s">
        <v>2</v>
      </c>
      <c r="D777" t="s">
        <v>34</v>
      </c>
      <c r="E777" t="s">
        <v>35</v>
      </c>
      <c r="F777" t="s">
        <v>45</v>
      </c>
      <c r="G777" t="s">
        <v>42</v>
      </c>
      <c r="H777">
        <v>1</v>
      </c>
      <c r="I777">
        <v>0</v>
      </c>
      <c r="J777">
        <v>0</v>
      </c>
      <c r="K777">
        <v>0</v>
      </c>
      <c r="L777">
        <v>0</v>
      </c>
      <c r="M777">
        <v>0</v>
      </c>
      <c r="N777">
        <v>0</v>
      </c>
      <c r="O777">
        <v>0</v>
      </c>
      <c r="Q777">
        <v>46.7</v>
      </c>
    </row>
    <row r="778" spans="1:17">
      <c r="A778" t="s">
        <v>824</v>
      </c>
      <c r="B778" s="8">
        <v>45683</v>
      </c>
      <c r="C778" t="s">
        <v>2</v>
      </c>
      <c r="D778" t="s">
        <v>44</v>
      </c>
      <c r="E778" t="s">
        <v>35</v>
      </c>
      <c r="F778" t="s">
        <v>55</v>
      </c>
      <c r="G778" t="s">
        <v>42</v>
      </c>
      <c r="H778">
        <v>0</v>
      </c>
      <c r="I778">
        <v>0</v>
      </c>
      <c r="J778">
        <v>0</v>
      </c>
      <c r="K778">
        <v>0</v>
      </c>
      <c r="L778">
        <v>0</v>
      </c>
      <c r="M778">
        <v>0</v>
      </c>
      <c r="N778">
        <v>0</v>
      </c>
      <c r="O778">
        <v>0</v>
      </c>
      <c r="Q778">
        <v>61</v>
      </c>
    </row>
    <row r="779" spans="1:17">
      <c r="A779" t="s">
        <v>825</v>
      </c>
      <c r="B779" s="8">
        <v>45801</v>
      </c>
      <c r="C779" t="s">
        <v>2</v>
      </c>
      <c r="D779" t="s">
        <v>39</v>
      </c>
      <c r="E779" t="s">
        <v>50</v>
      </c>
      <c r="F779" t="s">
        <v>45</v>
      </c>
      <c r="G779" t="s">
        <v>42</v>
      </c>
      <c r="H779">
        <v>0</v>
      </c>
      <c r="I779">
        <v>0</v>
      </c>
      <c r="J779">
        <v>0</v>
      </c>
      <c r="K779">
        <v>0</v>
      </c>
      <c r="L779">
        <v>0</v>
      </c>
      <c r="M779">
        <v>0</v>
      </c>
      <c r="N779">
        <v>0</v>
      </c>
      <c r="O779">
        <v>0</v>
      </c>
      <c r="Q779">
        <v>60.9</v>
      </c>
    </row>
    <row r="780" spans="1:17">
      <c r="A780" t="s">
        <v>826</v>
      </c>
      <c r="B780" s="8">
        <v>45665</v>
      </c>
      <c r="C780" t="s">
        <v>2</v>
      </c>
      <c r="D780" t="s">
        <v>48</v>
      </c>
      <c r="E780" t="s">
        <v>40</v>
      </c>
      <c r="F780" t="s">
        <v>41</v>
      </c>
      <c r="G780" t="s">
        <v>42</v>
      </c>
      <c r="H780">
        <v>1</v>
      </c>
      <c r="I780">
        <v>0</v>
      </c>
      <c r="J780">
        <v>0</v>
      </c>
      <c r="K780">
        <v>0</v>
      </c>
      <c r="L780">
        <v>0</v>
      </c>
      <c r="M780">
        <v>0</v>
      </c>
      <c r="N780">
        <v>0</v>
      </c>
      <c r="O780">
        <v>0</v>
      </c>
      <c r="Q780">
        <v>67.099999999999994</v>
      </c>
    </row>
    <row r="781" spans="1:17">
      <c r="A781" t="s">
        <v>827</v>
      </c>
      <c r="B781" s="8">
        <v>45762</v>
      </c>
      <c r="C781" t="s">
        <v>2</v>
      </c>
      <c r="D781" t="s">
        <v>34</v>
      </c>
      <c r="E781" t="s">
        <v>40</v>
      </c>
      <c r="F781" t="s">
        <v>55</v>
      </c>
      <c r="G781" t="s">
        <v>42</v>
      </c>
      <c r="H781">
        <v>1</v>
      </c>
      <c r="I781">
        <v>1</v>
      </c>
      <c r="J781">
        <v>0</v>
      </c>
      <c r="K781">
        <v>0</v>
      </c>
      <c r="L781">
        <v>0</v>
      </c>
      <c r="M781">
        <v>0</v>
      </c>
      <c r="N781">
        <v>0</v>
      </c>
      <c r="O781">
        <v>0</v>
      </c>
      <c r="Q781">
        <v>59.6</v>
      </c>
    </row>
    <row r="782" spans="1:17">
      <c r="A782" t="s">
        <v>828</v>
      </c>
      <c r="B782" s="8">
        <v>45672</v>
      </c>
      <c r="C782" t="s">
        <v>2</v>
      </c>
      <c r="D782" t="s">
        <v>48</v>
      </c>
      <c r="E782" t="s">
        <v>35</v>
      </c>
      <c r="F782" t="s">
        <v>45</v>
      </c>
      <c r="G782" t="s">
        <v>42</v>
      </c>
      <c r="H782">
        <v>1</v>
      </c>
      <c r="I782">
        <v>0</v>
      </c>
      <c r="J782">
        <v>0</v>
      </c>
      <c r="K782">
        <v>0</v>
      </c>
      <c r="L782">
        <v>0</v>
      </c>
      <c r="M782">
        <v>0</v>
      </c>
      <c r="N782">
        <v>0</v>
      </c>
      <c r="O782">
        <v>0</v>
      </c>
      <c r="Q782">
        <v>83.8</v>
      </c>
    </row>
    <row r="783" spans="1:17">
      <c r="A783" t="s">
        <v>829</v>
      </c>
      <c r="B783" s="8">
        <v>45716</v>
      </c>
      <c r="C783" t="s">
        <v>2</v>
      </c>
      <c r="D783" t="s">
        <v>34</v>
      </c>
      <c r="E783" t="s">
        <v>40</v>
      </c>
      <c r="F783" t="s">
        <v>41</v>
      </c>
      <c r="G783" t="s">
        <v>37</v>
      </c>
      <c r="H783">
        <v>1</v>
      </c>
      <c r="I783">
        <v>1</v>
      </c>
      <c r="J783">
        <v>1</v>
      </c>
      <c r="K783">
        <v>0</v>
      </c>
      <c r="L783">
        <v>0</v>
      </c>
      <c r="M783">
        <v>0</v>
      </c>
      <c r="N783">
        <v>0</v>
      </c>
      <c r="O783">
        <v>0</v>
      </c>
      <c r="Q783">
        <v>70.8</v>
      </c>
    </row>
    <row r="784" spans="1:17">
      <c r="A784" t="s">
        <v>830</v>
      </c>
      <c r="B784" s="8">
        <v>45658</v>
      </c>
      <c r="C784" t="s">
        <v>2</v>
      </c>
      <c r="D784" t="s">
        <v>34</v>
      </c>
      <c r="E784" t="s">
        <v>50</v>
      </c>
      <c r="F784" t="s">
        <v>41</v>
      </c>
      <c r="G784" t="s">
        <v>37</v>
      </c>
      <c r="H784">
        <v>0</v>
      </c>
      <c r="I784">
        <v>0</v>
      </c>
      <c r="J784">
        <v>0</v>
      </c>
      <c r="K784">
        <v>0</v>
      </c>
      <c r="L784">
        <v>0</v>
      </c>
      <c r="M784">
        <v>0</v>
      </c>
      <c r="N784">
        <v>0</v>
      </c>
      <c r="O784">
        <v>0</v>
      </c>
      <c r="Q784">
        <v>65.900000000000006</v>
      </c>
    </row>
    <row r="785" spans="1:17">
      <c r="A785" t="s">
        <v>831</v>
      </c>
      <c r="B785" s="8">
        <v>45764</v>
      </c>
      <c r="C785" t="s">
        <v>2</v>
      </c>
      <c r="D785" t="s">
        <v>39</v>
      </c>
      <c r="E785" t="s">
        <v>40</v>
      </c>
      <c r="F785" t="s">
        <v>55</v>
      </c>
      <c r="G785" t="s">
        <v>42</v>
      </c>
      <c r="H785">
        <v>1</v>
      </c>
      <c r="I785">
        <v>0</v>
      </c>
      <c r="J785">
        <v>0</v>
      </c>
      <c r="K785">
        <v>0</v>
      </c>
      <c r="L785">
        <v>0</v>
      </c>
      <c r="M785">
        <v>0</v>
      </c>
      <c r="N785">
        <v>0</v>
      </c>
      <c r="O785">
        <v>0</v>
      </c>
      <c r="Q785">
        <v>58</v>
      </c>
    </row>
    <row r="786" spans="1:17">
      <c r="A786" t="s">
        <v>832</v>
      </c>
      <c r="B786" s="8">
        <v>45707</v>
      </c>
      <c r="C786" t="s">
        <v>2</v>
      </c>
      <c r="D786" t="s">
        <v>34</v>
      </c>
      <c r="E786" t="s">
        <v>40</v>
      </c>
      <c r="F786" t="s">
        <v>36</v>
      </c>
      <c r="G786" t="s">
        <v>37</v>
      </c>
      <c r="H786">
        <v>1</v>
      </c>
      <c r="I786">
        <v>1</v>
      </c>
      <c r="J786">
        <v>0</v>
      </c>
      <c r="K786">
        <v>0</v>
      </c>
      <c r="L786">
        <v>0</v>
      </c>
      <c r="M786">
        <v>0</v>
      </c>
      <c r="N786">
        <v>0</v>
      </c>
      <c r="O786">
        <v>0</v>
      </c>
      <c r="Q786">
        <v>80.3</v>
      </c>
    </row>
    <row r="787" spans="1:17">
      <c r="A787" t="s">
        <v>833</v>
      </c>
      <c r="B787" s="8">
        <v>45730</v>
      </c>
      <c r="C787" t="s">
        <v>2</v>
      </c>
      <c r="D787" t="s">
        <v>34</v>
      </c>
      <c r="E787" t="s">
        <v>35</v>
      </c>
      <c r="F787" t="s">
        <v>41</v>
      </c>
      <c r="G787" t="s">
        <v>42</v>
      </c>
      <c r="H787">
        <v>1</v>
      </c>
      <c r="I787">
        <v>0</v>
      </c>
      <c r="J787">
        <v>0</v>
      </c>
      <c r="K787">
        <v>0</v>
      </c>
      <c r="L787">
        <v>0</v>
      </c>
      <c r="M787">
        <v>0</v>
      </c>
      <c r="N787">
        <v>0</v>
      </c>
      <c r="O787">
        <v>0</v>
      </c>
      <c r="Q787">
        <v>55.7</v>
      </c>
    </row>
    <row r="788" spans="1:17">
      <c r="A788" t="s">
        <v>834</v>
      </c>
      <c r="B788" s="8">
        <v>45768</v>
      </c>
      <c r="C788" t="s">
        <v>2</v>
      </c>
      <c r="D788" t="s">
        <v>34</v>
      </c>
      <c r="E788" t="s">
        <v>40</v>
      </c>
      <c r="F788" t="s">
        <v>41</v>
      </c>
      <c r="G788" t="s">
        <v>42</v>
      </c>
      <c r="H788">
        <v>1</v>
      </c>
      <c r="I788">
        <v>1</v>
      </c>
      <c r="J788">
        <v>0</v>
      </c>
      <c r="K788">
        <v>0</v>
      </c>
      <c r="L788">
        <v>0</v>
      </c>
      <c r="M788">
        <v>0</v>
      </c>
      <c r="N788">
        <v>0</v>
      </c>
      <c r="O788">
        <v>0</v>
      </c>
      <c r="Q788">
        <v>84.9</v>
      </c>
    </row>
    <row r="789" spans="1:17">
      <c r="A789" t="s">
        <v>835</v>
      </c>
      <c r="B789" s="8">
        <v>45702</v>
      </c>
      <c r="C789" t="s">
        <v>2</v>
      </c>
      <c r="D789" t="s">
        <v>34</v>
      </c>
      <c r="E789" t="s">
        <v>40</v>
      </c>
      <c r="F789" t="s">
        <v>41</v>
      </c>
      <c r="G789" t="s">
        <v>42</v>
      </c>
      <c r="H789">
        <v>1</v>
      </c>
      <c r="I789">
        <v>0</v>
      </c>
      <c r="J789">
        <v>0</v>
      </c>
      <c r="K789">
        <v>0</v>
      </c>
      <c r="L789">
        <v>0</v>
      </c>
      <c r="M789">
        <v>0</v>
      </c>
      <c r="N789">
        <v>0</v>
      </c>
      <c r="O789">
        <v>0</v>
      </c>
      <c r="Q789">
        <v>63.3</v>
      </c>
    </row>
    <row r="790" spans="1:17">
      <c r="A790" t="s">
        <v>836</v>
      </c>
      <c r="B790" s="8">
        <v>45807</v>
      </c>
      <c r="C790" t="s">
        <v>2</v>
      </c>
      <c r="D790" t="s">
        <v>39</v>
      </c>
      <c r="E790" t="s">
        <v>40</v>
      </c>
      <c r="F790" t="s">
        <v>41</v>
      </c>
      <c r="G790" t="s">
        <v>42</v>
      </c>
      <c r="H790">
        <v>0</v>
      </c>
      <c r="I790">
        <v>0</v>
      </c>
      <c r="J790">
        <v>0</v>
      </c>
      <c r="K790">
        <v>0</v>
      </c>
      <c r="L790">
        <v>0</v>
      </c>
      <c r="M790">
        <v>0</v>
      </c>
      <c r="N790">
        <v>0</v>
      </c>
      <c r="O790">
        <v>0</v>
      </c>
      <c r="Q790">
        <v>53.1</v>
      </c>
    </row>
    <row r="791" spans="1:17">
      <c r="A791" t="s">
        <v>837</v>
      </c>
      <c r="B791" s="8">
        <v>45677</v>
      </c>
      <c r="C791" t="s">
        <v>2</v>
      </c>
      <c r="D791" t="s">
        <v>39</v>
      </c>
      <c r="E791" t="s">
        <v>40</v>
      </c>
      <c r="F791" t="s">
        <v>41</v>
      </c>
      <c r="G791" t="s">
        <v>42</v>
      </c>
      <c r="H791">
        <v>0</v>
      </c>
      <c r="I791">
        <v>0</v>
      </c>
      <c r="J791">
        <v>0</v>
      </c>
      <c r="K791">
        <v>0</v>
      </c>
      <c r="L791">
        <v>0</v>
      </c>
      <c r="M791">
        <v>0</v>
      </c>
      <c r="N791">
        <v>0</v>
      </c>
      <c r="O791">
        <v>0</v>
      </c>
      <c r="Q791">
        <v>66</v>
      </c>
    </row>
    <row r="792" spans="1:17">
      <c r="A792" t="s">
        <v>838</v>
      </c>
      <c r="B792" s="8">
        <v>45733</v>
      </c>
      <c r="C792" t="s">
        <v>2</v>
      </c>
      <c r="D792" t="s">
        <v>39</v>
      </c>
      <c r="E792" t="s">
        <v>40</v>
      </c>
      <c r="F792" t="s">
        <v>57</v>
      </c>
      <c r="G792" t="s">
        <v>46</v>
      </c>
      <c r="H792">
        <v>0</v>
      </c>
      <c r="I792">
        <v>0</v>
      </c>
      <c r="J792">
        <v>0</v>
      </c>
      <c r="K792">
        <v>0</v>
      </c>
      <c r="L792">
        <v>0</v>
      </c>
      <c r="M792">
        <v>0</v>
      </c>
      <c r="N792">
        <v>0</v>
      </c>
      <c r="O792">
        <v>0</v>
      </c>
      <c r="Q792">
        <v>54.7</v>
      </c>
    </row>
    <row r="793" spans="1:17">
      <c r="A793" t="s">
        <v>839</v>
      </c>
      <c r="B793" s="8">
        <v>45720</v>
      </c>
      <c r="C793" t="s">
        <v>2</v>
      </c>
      <c r="D793" t="s">
        <v>39</v>
      </c>
      <c r="E793" t="s">
        <v>40</v>
      </c>
      <c r="F793" t="s">
        <v>57</v>
      </c>
      <c r="G793" t="s">
        <v>42</v>
      </c>
      <c r="H793">
        <v>1</v>
      </c>
      <c r="I793">
        <v>1</v>
      </c>
      <c r="J793">
        <v>0</v>
      </c>
      <c r="K793">
        <v>0</v>
      </c>
      <c r="L793">
        <v>0</v>
      </c>
      <c r="M793">
        <v>1</v>
      </c>
      <c r="N793">
        <v>1</v>
      </c>
      <c r="O793">
        <v>0</v>
      </c>
      <c r="Q793">
        <v>41.2</v>
      </c>
    </row>
    <row r="794" spans="1:17">
      <c r="A794" t="s">
        <v>840</v>
      </c>
      <c r="B794" s="8">
        <v>45710</v>
      </c>
      <c r="C794" t="s">
        <v>2</v>
      </c>
      <c r="D794" t="s">
        <v>48</v>
      </c>
      <c r="E794" t="s">
        <v>40</v>
      </c>
      <c r="F794" t="s">
        <v>41</v>
      </c>
      <c r="G794" t="s">
        <v>46</v>
      </c>
      <c r="H794">
        <v>0</v>
      </c>
      <c r="I794">
        <v>0</v>
      </c>
      <c r="J794">
        <v>0</v>
      </c>
      <c r="K794">
        <v>0</v>
      </c>
      <c r="L794">
        <v>0</v>
      </c>
      <c r="M794">
        <v>0</v>
      </c>
      <c r="N794">
        <v>0</v>
      </c>
      <c r="O794">
        <v>0</v>
      </c>
      <c r="Q794">
        <v>66.7</v>
      </c>
    </row>
    <row r="795" spans="1:17">
      <c r="A795" t="s">
        <v>841</v>
      </c>
      <c r="B795" s="8">
        <v>45779</v>
      </c>
      <c r="C795" t="s">
        <v>2</v>
      </c>
      <c r="D795" t="s">
        <v>34</v>
      </c>
      <c r="E795" t="s">
        <v>40</v>
      </c>
      <c r="F795" t="s">
        <v>45</v>
      </c>
      <c r="G795" t="s">
        <v>46</v>
      </c>
      <c r="H795">
        <v>0</v>
      </c>
      <c r="I795">
        <v>0</v>
      </c>
      <c r="J795">
        <v>0</v>
      </c>
      <c r="K795">
        <v>0</v>
      </c>
      <c r="L795">
        <v>0</v>
      </c>
      <c r="M795">
        <v>0</v>
      </c>
      <c r="N795">
        <v>0</v>
      </c>
      <c r="O795">
        <v>0</v>
      </c>
      <c r="Q795">
        <v>39.4</v>
      </c>
    </row>
    <row r="796" spans="1:17">
      <c r="A796" t="s">
        <v>842</v>
      </c>
      <c r="B796" s="8">
        <v>45729</v>
      </c>
      <c r="C796" t="s">
        <v>2</v>
      </c>
      <c r="D796" t="s">
        <v>39</v>
      </c>
      <c r="E796" t="s">
        <v>35</v>
      </c>
      <c r="F796" t="s">
        <v>41</v>
      </c>
      <c r="G796" t="s">
        <v>46</v>
      </c>
      <c r="H796">
        <v>0</v>
      </c>
      <c r="I796">
        <v>0</v>
      </c>
      <c r="J796">
        <v>0</v>
      </c>
      <c r="K796">
        <v>0</v>
      </c>
      <c r="L796">
        <v>0</v>
      </c>
      <c r="M796">
        <v>3</v>
      </c>
      <c r="N796">
        <v>1</v>
      </c>
      <c r="O796">
        <v>0</v>
      </c>
      <c r="Q796">
        <v>67</v>
      </c>
    </row>
    <row r="797" spans="1:17">
      <c r="A797" t="s">
        <v>843</v>
      </c>
      <c r="B797" s="8">
        <v>45808</v>
      </c>
      <c r="C797" t="s">
        <v>2</v>
      </c>
      <c r="D797" t="s">
        <v>48</v>
      </c>
      <c r="E797" t="s">
        <v>40</v>
      </c>
      <c r="F797" t="s">
        <v>41</v>
      </c>
      <c r="G797" t="s">
        <v>37</v>
      </c>
      <c r="H797">
        <v>1</v>
      </c>
      <c r="I797">
        <v>0</v>
      </c>
      <c r="J797">
        <v>0</v>
      </c>
      <c r="K797">
        <v>0</v>
      </c>
      <c r="L797">
        <v>0</v>
      </c>
      <c r="M797">
        <v>0</v>
      </c>
      <c r="N797">
        <v>0</v>
      </c>
      <c r="O797">
        <v>0</v>
      </c>
      <c r="Q797">
        <v>50.4</v>
      </c>
    </row>
    <row r="798" spans="1:17">
      <c r="A798" t="s">
        <v>844</v>
      </c>
      <c r="B798" s="8">
        <v>45723</v>
      </c>
      <c r="C798" t="s">
        <v>2</v>
      </c>
      <c r="D798" t="s">
        <v>39</v>
      </c>
      <c r="E798" t="s">
        <v>35</v>
      </c>
      <c r="F798" t="s">
        <v>57</v>
      </c>
      <c r="G798" t="s">
        <v>42</v>
      </c>
      <c r="H798">
        <v>1</v>
      </c>
      <c r="I798">
        <v>0</v>
      </c>
      <c r="J798">
        <v>0</v>
      </c>
      <c r="K798">
        <v>0</v>
      </c>
      <c r="L798">
        <v>0</v>
      </c>
      <c r="M798">
        <v>0</v>
      </c>
      <c r="N798">
        <v>0</v>
      </c>
      <c r="O798">
        <v>0</v>
      </c>
      <c r="Q798">
        <v>53.8</v>
      </c>
    </row>
    <row r="799" spans="1:17">
      <c r="A799" t="s">
        <v>845</v>
      </c>
      <c r="B799" s="8">
        <v>45710</v>
      </c>
      <c r="C799" t="s">
        <v>2</v>
      </c>
      <c r="D799" t="s">
        <v>39</v>
      </c>
      <c r="E799" t="s">
        <v>40</v>
      </c>
      <c r="F799" t="s">
        <v>45</v>
      </c>
      <c r="G799" t="s">
        <v>37</v>
      </c>
      <c r="H799">
        <v>0</v>
      </c>
      <c r="I799">
        <v>0</v>
      </c>
      <c r="J799">
        <v>0</v>
      </c>
      <c r="K799">
        <v>0</v>
      </c>
      <c r="L799">
        <v>0</v>
      </c>
      <c r="M799">
        <v>1</v>
      </c>
      <c r="N799">
        <v>1</v>
      </c>
      <c r="O799">
        <v>0</v>
      </c>
      <c r="Q799">
        <v>82.7</v>
      </c>
    </row>
    <row r="800" spans="1:17">
      <c r="A800" t="s">
        <v>846</v>
      </c>
      <c r="B800" s="8">
        <v>45662</v>
      </c>
      <c r="C800" t="s">
        <v>2</v>
      </c>
      <c r="D800" t="s">
        <v>39</v>
      </c>
      <c r="E800" t="s">
        <v>35</v>
      </c>
      <c r="F800" t="s">
        <v>45</v>
      </c>
      <c r="G800" t="s">
        <v>42</v>
      </c>
      <c r="H800">
        <v>1</v>
      </c>
      <c r="I800">
        <v>1</v>
      </c>
      <c r="J800">
        <v>1</v>
      </c>
      <c r="K800">
        <v>0</v>
      </c>
      <c r="L800">
        <v>0</v>
      </c>
      <c r="M800">
        <v>0</v>
      </c>
      <c r="N800">
        <v>0</v>
      </c>
      <c r="O800">
        <v>0</v>
      </c>
      <c r="Q800">
        <v>63.9</v>
      </c>
    </row>
    <row r="801" spans="1:17">
      <c r="A801" t="s">
        <v>847</v>
      </c>
      <c r="B801" s="8">
        <v>45678</v>
      </c>
      <c r="C801" t="s">
        <v>2</v>
      </c>
      <c r="D801" t="s">
        <v>39</v>
      </c>
      <c r="E801" t="s">
        <v>40</v>
      </c>
      <c r="F801" t="s">
        <v>55</v>
      </c>
      <c r="G801" t="s">
        <v>42</v>
      </c>
      <c r="H801">
        <v>1</v>
      </c>
      <c r="I801">
        <v>0</v>
      </c>
      <c r="J801">
        <v>0</v>
      </c>
      <c r="K801">
        <v>0</v>
      </c>
      <c r="L801">
        <v>0</v>
      </c>
      <c r="M801">
        <v>0</v>
      </c>
      <c r="N801">
        <v>0</v>
      </c>
      <c r="O801">
        <v>0</v>
      </c>
      <c r="Q801">
        <v>61.9</v>
      </c>
    </row>
    <row r="802" spans="1:17">
      <c r="A802" t="s">
        <v>848</v>
      </c>
      <c r="B802" s="8">
        <v>45682</v>
      </c>
      <c r="C802" t="s">
        <v>2</v>
      </c>
      <c r="D802" t="s">
        <v>34</v>
      </c>
      <c r="E802" t="s">
        <v>35</v>
      </c>
      <c r="F802" t="s">
        <v>57</v>
      </c>
      <c r="G802" t="s">
        <v>42</v>
      </c>
      <c r="H802">
        <v>1</v>
      </c>
      <c r="I802">
        <v>1</v>
      </c>
      <c r="J802">
        <v>1</v>
      </c>
      <c r="K802">
        <v>0</v>
      </c>
      <c r="L802">
        <v>0</v>
      </c>
      <c r="M802">
        <v>0</v>
      </c>
      <c r="N802">
        <v>0</v>
      </c>
      <c r="O802">
        <v>0</v>
      </c>
      <c r="Q802">
        <v>75</v>
      </c>
    </row>
    <row r="803" spans="1:17">
      <c r="A803" t="s">
        <v>849</v>
      </c>
      <c r="B803" s="8">
        <v>45751</v>
      </c>
      <c r="C803" t="s">
        <v>2</v>
      </c>
      <c r="D803" t="s">
        <v>39</v>
      </c>
      <c r="E803" t="s">
        <v>40</v>
      </c>
      <c r="F803" t="s">
        <v>45</v>
      </c>
      <c r="G803" t="s">
        <v>37</v>
      </c>
      <c r="H803">
        <v>1</v>
      </c>
      <c r="I803">
        <v>1</v>
      </c>
      <c r="J803">
        <v>1</v>
      </c>
      <c r="K803">
        <v>0</v>
      </c>
      <c r="L803">
        <v>0</v>
      </c>
      <c r="M803">
        <v>0</v>
      </c>
      <c r="N803">
        <v>0</v>
      </c>
      <c r="O803">
        <v>0</v>
      </c>
      <c r="Q803">
        <v>43</v>
      </c>
    </row>
    <row r="804" spans="1:17">
      <c r="A804" t="s">
        <v>850</v>
      </c>
      <c r="B804" s="8">
        <v>45741</v>
      </c>
      <c r="C804" t="s">
        <v>2</v>
      </c>
      <c r="D804" t="s">
        <v>34</v>
      </c>
      <c r="E804" t="s">
        <v>35</v>
      </c>
      <c r="F804" t="s">
        <v>57</v>
      </c>
      <c r="G804" t="s">
        <v>46</v>
      </c>
      <c r="H804">
        <v>0</v>
      </c>
      <c r="I804">
        <v>0</v>
      </c>
      <c r="J804">
        <v>0</v>
      </c>
      <c r="K804">
        <v>0</v>
      </c>
      <c r="L804">
        <v>0</v>
      </c>
      <c r="M804">
        <v>0</v>
      </c>
      <c r="N804">
        <v>0</v>
      </c>
      <c r="O804">
        <v>0</v>
      </c>
      <c r="Q804">
        <v>54.3</v>
      </c>
    </row>
    <row r="805" spans="1:17">
      <c r="A805" t="s">
        <v>851</v>
      </c>
      <c r="B805" s="8">
        <v>45735</v>
      </c>
      <c r="C805" t="s">
        <v>2</v>
      </c>
      <c r="D805" t="s">
        <v>39</v>
      </c>
      <c r="E805" t="s">
        <v>40</v>
      </c>
      <c r="F805" t="s">
        <v>57</v>
      </c>
      <c r="G805" t="s">
        <v>42</v>
      </c>
      <c r="H805">
        <v>0</v>
      </c>
      <c r="I805">
        <v>0</v>
      </c>
      <c r="J805">
        <v>0</v>
      </c>
      <c r="K805">
        <v>0</v>
      </c>
      <c r="L805">
        <v>0</v>
      </c>
      <c r="M805">
        <v>2</v>
      </c>
      <c r="N805">
        <v>1</v>
      </c>
      <c r="O805">
        <v>0</v>
      </c>
      <c r="Q805">
        <v>44.3</v>
      </c>
    </row>
    <row r="806" spans="1:17">
      <c r="A806" t="s">
        <v>852</v>
      </c>
      <c r="B806" s="8">
        <v>45771</v>
      </c>
      <c r="C806" t="s">
        <v>2</v>
      </c>
      <c r="D806" t="s">
        <v>39</v>
      </c>
      <c r="E806" t="s">
        <v>35</v>
      </c>
      <c r="F806" t="s">
        <v>41</v>
      </c>
      <c r="G806" t="s">
        <v>42</v>
      </c>
      <c r="H806">
        <v>1</v>
      </c>
      <c r="I806">
        <v>1</v>
      </c>
      <c r="J806">
        <v>1</v>
      </c>
      <c r="K806">
        <v>1</v>
      </c>
      <c r="L806">
        <v>402.88</v>
      </c>
      <c r="M806">
        <v>0</v>
      </c>
      <c r="N806">
        <v>0</v>
      </c>
      <c r="O806">
        <v>0</v>
      </c>
      <c r="P806">
        <v>12</v>
      </c>
      <c r="Q806">
        <v>76</v>
      </c>
    </row>
    <row r="807" spans="1:17">
      <c r="A807" t="s">
        <v>853</v>
      </c>
      <c r="B807" s="8">
        <v>45751</v>
      </c>
      <c r="C807" t="s">
        <v>2</v>
      </c>
      <c r="D807" t="s">
        <v>48</v>
      </c>
      <c r="E807" t="s">
        <v>50</v>
      </c>
      <c r="F807" t="s">
        <v>41</v>
      </c>
      <c r="G807" t="s">
        <v>42</v>
      </c>
      <c r="H807">
        <v>1</v>
      </c>
      <c r="I807">
        <v>0</v>
      </c>
      <c r="J807">
        <v>0</v>
      </c>
      <c r="K807">
        <v>0</v>
      </c>
      <c r="L807">
        <v>0</v>
      </c>
      <c r="M807">
        <v>2</v>
      </c>
      <c r="N807">
        <v>1</v>
      </c>
      <c r="O807">
        <v>0</v>
      </c>
      <c r="Q807">
        <v>65.3</v>
      </c>
    </row>
    <row r="808" spans="1:17">
      <c r="A808" t="s">
        <v>854</v>
      </c>
      <c r="B808" s="8">
        <v>45744</v>
      </c>
      <c r="C808" t="s">
        <v>2</v>
      </c>
      <c r="D808" t="s">
        <v>48</v>
      </c>
      <c r="E808" t="s">
        <v>35</v>
      </c>
      <c r="F808" t="s">
        <v>45</v>
      </c>
      <c r="G808" t="s">
        <v>46</v>
      </c>
      <c r="H808">
        <v>1</v>
      </c>
      <c r="I808">
        <v>0</v>
      </c>
      <c r="J808">
        <v>0</v>
      </c>
      <c r="K808">
        <v>0</v>
      </c>
      <c r="L808">
        <v>0</v>
      </c>
      <c r="M808">
        <v>0</v>
      </c>
      <c r="N808">
        <v>0</v>
      </c>
      <c r="O808">
        <v>0</v>
      </c>
      <c r="Q808">
        <v>71.2</v>
      </c>
    </row>
    <row r="809" spans="1:17">
      <c r="A809" t="s">
        <v>855</v>
      </c>
      <c r="B809" s="8">
        <v>45792</v>
      </c>
      <c r="C809" t="s">
        <v>2</v>
      </c>
      <c r="D809" t="s">
        <v>48</v>
      </c>
      <c r="E809" t="s">
        <v>50</v>
      </c>
      <c r="F809" t="s">
        <v>45</v>
      </c>
      <c r="G809" t="s">
        <v>42</v>
      </c>
      <c r="H809">
        <v>1</v>
      </c>
      <c r="I809">
        <v>0</v>
      </c>
      <c r="J809">
        <v>0</v>
      </c>
      <c r="K809">
        <v>0</v>
      </c>
      <c r="L809">
        <v>0</v>
      </c>
      <c r="M809">
        <v>0</v>
      </c>
      <c r="N809">
        <v>0</v>
      </c>
      <c r="O809">
        <v>0</v>
      </c>
      <c r="Q809">
        <v>77.900000000000006</v>
      </c>
    </row>
    <row r="810" spans="1:17">
      <c r="A810" t="s">
        <v>856</v>
      </c>
      <c r="B810" s="8">
        <v>45729</v>
      </c>
      <c r="C810" t="s">
        <v>2</v>
      </c>
      <c r="D810" t="s">
        <v>39</v>
      </c>
      <c r="E810" t="s">
        <v>40</v>
      </c>
      <c r="F810" t="s">
        <v>45</v>
      </c>
      <c r="G810" t="s">
        <v>42</v>
      </c>
      <c r="H810">
        <v>0</v>
      </c>
      <c r="I810">
        <v>0</v>
      </c>
      <c r="J810">
        <v>0</v>
      </c>
      <c r="K810">
        <v>0</v>
      </c>
      <c r="L810">
        <v>0</v>
      </c>
      <c r="M810">
        <v>0</v>
      </c>
      <c r="N810">
        <v>0</v>
      </c>
      <c r="O810">
        <v>0</v>
      </c>
      <c r="Q810">
        <v>48.6</v>
      </c>
    </row>
    <row r="811" spans="1:17">
      <c r="A811" t="s">
        <v>857</v>
      </c>
      <c r="B811" s="8">
        <v>45742</v>
      </c>
      <c r="C811" t="s">
        <v>2</v>
      </c>
      <c r="D811" t="s">
        <v>34</v>
      </c>
      <c r="E811" t="s">
        <v>40</v>
      </c>
      <c r="F811" t="s">
        <v>57</v>
      </c>
      <c r="G811" t="s">
        <v>46</v>
      </c>
      <c r="H811">
        <v>1</v>
      </c>
      <c r="I811">
        <v>0</v>
      </c>
      <c r="J811">
        <v>0</v>
      </c>
      <c r="K811">
        <v>0</v>
      </c>
      <c r="L811">
        <v>0</v>
      </c>
      <c r="M811">
        <v>0</v>
      </c>
      <c r="N811">
        <v>0</v>
      </c>
      <c r="O811">
        <v>0</v>
      </c>
      <c r="Q811">
        <v>61.9</v>
      </c>
    </row>
    <row r="812" spans="1:17">
      <c r="A812" t="s">
        <v>858</v>
      </c>
      <c r="B812" s="8">
        <v>45666</v>
      </c>
      <c r="C812" t="s">
        <v>2</v>
      </c>
      <c r="D812" t="s">
        <v>34</v>
      </c>
      <c r="E812" t="s">
        <v>40</v>
      </c>
      <c r="F812" t="s">
        <v>57</v>
      </c>
      <c r="G812" t="s">
        <v>37</v>
      </c>
      <c r="H812">
        <v>0</v>
      </c>
      <c r="I812">
        <v>0</v>
      </c>
      <c r="J812">
        <v>0</v>
      </c>
      <c r="K812">
        <v>0</v>
      </c>
      <c r="L812">
        <v>0</v>
      </c>
      <c r="M812">
        <v>1</v>
      </c>
      <c r="N812">
        <v>1</v>
      </c>
      <c r="O812">
        <v>0</v>
      </c>
      <c r="Q812">
        <v>58.7</v>
      </c>
    </row>
    <row r="813" spans="1:17">
      <c r="A813" t="s">
        <v>859</v>
      </c>
      <c r="B813" s="8">
        <v>45783</v>
      </c>
      <c r="C813" t="s">
        <v>2</v>
      </c>
      <c r="D813" t="s">
        <v>48</v>
      </c>
      <c r="E813" t="s">
        <v>35</v>
      </c>
      <c r="F813" t="s">
        <v>45</v>
      </c>
      <c r="G813" t="s">
        <v>42</v>
      </c>
      <c r="H813">
        <v>1</v>
      </c>
      <c r="I813">
        <v>0</v>
      </c>
      <c r="J813">
        <v>0</v>
      </c>
      <c r="K813">
        <v>0</v>
      </c>
      <c r="L813">
        <v>0</v>
      </c>
      <c r="M813">
        <v>0</v>
      </c>
      <c r="N813">
        <v>0</v>
      </c>
      <c r="O813">
        <v>0</v>
      </c>
      <c r="Q813">
        <v>69.599999999999994</v>
      </c>
    </row>
    <row r="814" spans="1:17">
      <c r="A814" t="s">
        <v>860</v>
      </c>
      <c r="B814" s="8">
        <v>45705</v>
      </c>
      <c r="C814" t="s">
        <v>2</v>
      </c>
      <c r="D814" t="s">
        <v>48</v>
      </c>
      <c r="E814" t="s">
        <v>40</v>
      </c>
      <c r="F814" t="s">
        <v>41</v>
      </c>
      <c r="G814" t="s">
        <v>42</v>
      </c>
      <c r="H814">
        <v>1</v>
      </c>
      <c r="I814">
        <v>0</v>
      </c>
      <c r="J814">
        <v>0</v>
      </c>
      <c r="K814">
        <v>0</v>
      </c>
      <c r="L814">
        <v>0</v>
      </c>
      <c r="M814">
        <v>0</v>
      </c>
      <c r="N814">
        <v>0</v>
      </c>
      <c r="O814">
        <v>0</v>
      </c>
      <c r="Q814">
        <v>51.5</v>
      </c>
    </row>
    <row r="815" spans="1:17">
      <c r="A815" t="s">
        <v>861</v>
      </c>
      <c r="B815" s="8">
        <v>45752</v>
      </c>
      <c r="C815" t="s">
        <v>2</v>
      </c>
      <c r="D815" t="s">
        <v>44</v>
      </c>
      <c r="E815" t="s">
        <v>40</v>
      </c>
      <c r="F815" t="s">
        <v>45</v>
      </c>
      <c r="G815" t="s">
        <v>42</v>
      </c>
      <c r="H815">
        <v>1</v>
      </c>
      <c r="I815">
        <v>1</v>
      </c>
      <c r="J815">
        <v>1</v>
      </c>
      <c r="K815">
        <v>1</v>
      </c>
      <c r="L815">
        <v>277.69</v>
      </c>
      <c r="M815">
        <v>3</v>
      </c>
      <c r="N815">
        <v>1</v>
      </c>
      <c r="O815">
        <v>0</v>
      </c>
      <c r="P815">
        <v>8</v>
      </c>
      <c r="Q815">
        <v>46</v>
      </c>
    </row>
    <row r="816" spans="1:17">
      <c r="A816" t="s">
        <v>862</v>
      </c>
      <c r="B816" s="8">
        <v>45760</v>
      </c>
      <c r="C816" t="s">
        <v>2</v>
      </c>
      <c r="D816" t="s">
        <v>39</v>
      </c>
      <c r="E816" t="s">
        <v>50</v>
      </c>
      <c r="F816" t="s">
        <v>41</v>
      </c>
      <c r="G816" t="s">
        <v>42</v>
      </c>
      <c r="H816">
        <v>1</v>
      </c>
      <c r="I816">
        <v>0</v>
      </c>
      <c r="J816">
        <v>0</v>
      </c>
      <c r="K816">
        <v>0</v>
      </c>
      <c r="L816">
        <v>0</v>
      </c>
      <c r="M816">
        <v>0</v>
      </c>
      <c r="N816">
        <v>0</v>
      </c>
      <c r="O816">
        <v>0</v>
      </c>
      <c r="Q816">
        <v>81.7</v>
      </c>
    </row>
    <row r="817" spans="1:17">
      <c r="A817" t="s">
        <v>863</v>
      </c>
      <c r="B817" s="8">
        <v>45797</v>
      </c>
      <c r="C817" t="s">
        <v>2</v>
      </c>
      <c r="D817" t="s">
        <v>44</v>
      </c>
      <c r="E817" t="s">
        <v>35</v>
      </c>
      <c r="F817" t="s">
        <v>55</v>
      </c>
      <c r="G817" t="s">
        <v>42</v>
      </c>
      <c r="H817">
        <v>1</v>
      </c>
      <c r="I817">
        <v>0</v>
      </c>
      <c r="J817">
        <v>0</v>
      </c>
      <c r="K817">
        <v>0</v>
      </c>
      <c r="L817">
        <v>0</v>
      </c>
      <c r="M817">
        <v>0</v>
      </c>
      <c r="N817">
        <v>0</v>
      </c>
      <c r="O817">
        <v>0</v>
      </c>
      <c r="Q817">
        <v>48.3</v>
      </c>
    </row>
    <row r="818" spans="1:17">
      <c r="A818" t="s">
        <v>864</v>
      </c>
      <c r="B818" s="8">
        <v>45747</v>
      </c>
      <c r="C818" t="s">
        <v>2</v>
      </c>
      <c r="D818" t="s">
        <v>44</v>
      </c>
      <c r="E818" t="s">
        <v>40</v>
      </c>
      <c r="F818" t="s">
        <v>36</v>
      </c>
      <c r="G818" t="s">
        <v>42</v>
      </c>
      <c r="H818">
        <v>1</v>
      </c>
      <c r="I818">
        <v>1</v>
      </c>
      <c r="J818">
        <v>0</v>
      </c>
      <c r="K818">
        <v>0</v>
      </c>
      <c r="L818">
        <v>0</v>
      </c>
      <c r="M818">
        <v>0</v>
      </c>
      <c r="N818">
        <v>0</v>
      </c>
      <c r="O818">
        <v>0</v>
      </c>
      <c r="Q818">
        <v>85.6</v>
      </c>
    </row>
    <row r="819" spans="1:17">
      <c r="A819" t="s">
        <v>865</v>
      </c>
      <c r="B819" s="8">
        <v>45750</v>
      </c>
      <c r="C819" t="s">
        <v>2</v>
      </c>
      <c r="D819" t="s">
        <v>39</v>
      </c>
      <c r="E819" t="s">
        <v>50</v>
      </c>
      <c r="F819" t="s">
        <v>45</v>
      </c>
      <c r="G819" t="s">
        <v>37</v>
      </c>
      <c r="H819">
        <v>1</v>
      </c>
      <c r="I819">
        <v>0</v>
      </c>
      <c r="J819">
        <v>0</v>
      </c>
      <c r="K819">
        <v>0</v>
      </c>
      <c r="L819">
        <v>0</v>
      </c>
      <c r="M819">
        <v>0</v>
      </c>
      <c r="N819">
        <v>0</v>
      </c>
      <c r="O819">
        <v>0</v>
      </c>
      <c r="Q819">
        <v>53.8</v>
      </c>
    </row>
    <row r="820" spans="1:17">
      <c r="A820" t="s">
        <v>866</v>
      </c>
      <c r="B820" s="8">
        <v>45692</v>
      </c>
      <c r="C820" t="s">
        <v>2</v>
      </c>
      <c r="D820" t="s">
        <v>48</v>
      </c>
      <c r="E820" t="s">
        <v>40</v>
      </c>
      <c r="F820" t="s">
        <v>41</v>
      </c>
      <c r="G820" t="s">
        <v>42</v>
      </c>
      <c r="H820">
        <v>1</v>
      </c>
      <c r="I820">
        <v>1</v>
      </c>
      <c r="J820">
        <v>1</v>
      </c>
      <c r="K820">
        <v>1</v>
      </c>
      <c r="L820">
        <v>460.83</v>
      </c>
      <c r="M820">
        <v>2</v>
      </c>
      <c r="N820">
        <v>1</v>
      </c>
      <c r="O820">
        <v>0</v>
      </c>
      <c r="P820">
        <v>0</v>
      </c>
      <c r="Q820">
        <v>69.7</v>
      </c>
    </row>
    <row r="821" spans="1:17">
      <c r="A821" t="s">
        <v>867</v>
      </c>
      <c r="B821" s="8">
        <v>45796</v>
      </c>
      <c r="C821" t="s">
        <v>2</v>
      </c>
      <c r="D821" t="s">
        <v>44</v>
      </c>
      <c r="E821" t="s">
        <v>40</v>
      </c>
      <c r="F821" t="s">
        <v>41</v>
      </c>
      <c r="G821" t="s">
        <v>42</v>
      </c>
      <c r="H821">
        <v>1</v>
      </c>
      <c r="I821">
        <v>0</v>
      </c>
      <c r="J821">
        <v>0</v>
      </c>
      <c r="K821">
        <v>0</v>
      </c>
      <c r="L821">
        <v>0</v>
      </c>
      <c r="M821">
        <v>0</v>
      </c>
      <c r="N821">
        <v>0</v>
      </c>
      <c r="O821">
        <v>0</v>
      </c>
      <c r="Q821">
        <v>74.8</v>
      </c>
    </row>
    <row r="822" spans="1:17">
      <c r="A822" t="s">
        <v>868</v>
      </c>
      <c r="B822" s="8">
        <v>45724</v>
      </c>
      <c r="C822" t="s">
        <v>2</v>
      </c>
      <c r="D822" t="s">
        <v>44</v>
      </c>
      <c r="E822" t="s">
        <v>35</v>
      </c>
      <c r="F822" t="s">
        <v>45</v>
      </c>
      <c r="G822" t="s">
        <v>37</v>
      </c>
      <c r="H822">
        <v>0</v>
      </c>
      <c r="I822">
        <v>0</v>
      </c>
      <c r="J822">
        <v>0</v>
      </c>
      <c r="K822">
        <v>0</v>
      </c>
      <c r="L822">
        <v>0</v>
      </c>
      <c r="M822">
        <v>0</v>
      </c>
      <c r="N822">
        <v>0</v>
      </c>
      <c r="O822">
        <v>0</v>
      </c>
      <c r="Q822">
        <v>87.9</v>
      </c>
    </row>
    <row r="823" spans="1:17">
      <c r="A823" t="s">
        <v>869</v>
      </c>
      <c r="B823" s="8">
        <v>45787</v>
      </c>
      <c r="C823" t="s">
        <v>2</v>
      </c>
      <c r="D823" t="s">
        <v>34</v>
      </c>
      <c r="E823" t="s">
        <v>40</v>
      </c>
      <c r="F823" t="s">
        <v>57</v>
      </c>
      <c r="G823" t="s">
        <v>37</v>
      </c>
      <c r="H823">
        <v>1</v>
      </c>
      <c r="I823">
        <v>0</v>
      </c>
      <c r="J823">
        <v>0</v>
      </c>
      <c r="K823">
        <v>0</v>
      </c>
      <c r="L823">
        <v>0</v>
      </c>
      <c r="M823">
        <v>1</v>
      </c>
      <c r="N823">
        <v>1</v>
      </c>
      <c r="O823">
        <v>0</v>
      </c>
      <c r="Q823">
        <v>49.1</v>
      </c>
    </row>
    <row r="824" spans="1:17">
      <c r="A824" t="s">
        <v>870</v>
      </c>
      <c r="B824" s="8">
        <v>45659</v>
      </c>
      <c r="C824" t="s">
        <v>2</v>
      </c>
      <c r="D824" t="s">
        <v>44</v>
      </c>
      <c r="E824" t="s">
        <v>35</v>
      </c>
      <c r="F824" t="s">
        <v>57</v>
      </c>
      <c r="G824" t="s">
        <v>37</v>
      </c>
      <c r="H824">
        <v>1</v>
      </c>
      <c r="I824">
        <v>0</v>
      </c>
      <c r="J824">
        <v>0</v>
      </c>
      <c r="K824">
        <v>0</v>
      </c>
      <c r="L824">
        <v>0</v>
      </c>
      <c r="M824">
        <v>2</v>
      </c>
      <c r="N824">
        <v>1</v>
      </c>
      <c r="O824">
        <v>0</v>
      </c>
      <c r="Q824">
        <v>73</v>
      </c>
    </row>
    <row r="825" spans="1:17">
      <c r="A825" t="s">
        <v>871</v>
      </c>
      <c r="B825" s="8">
        <v>45674</v>
      </c>
      <c r="C825" t="s">
        <v>2</v>
      </c>
      <c r="D825" t="s">
        <v>39</v>
      </c>
      <c r="E825" t="s">
        <v>40</v>
      </c>
      <c r="F825" t="s">
        <v>41</v>
      </c>
      <c r="G825" t="s">
        <v>37</v>
      </c>
      <c r="H825">
        <v>0</v>
      </c>
      <c r="I825">
        <v>0</v>
      </c>
      <c r="J825">
        <v>0</v>
      </c>
      <c r="K825">
        <v>0</v>
      </c>
      <c r="L825">
        <v>0</v>
      </c>
      <c r="M825">
        <v>0</v>
      </c>
      <c r="N825">
        <v>0</v>
      </c>
      <c r="O825">
        <v>0</v>
      </c>
      <c r="Q825">
        <v>79.5</v>
      </c>
    </row>
    <row r="826" spans="1:17">
      <c r="A826" t="s">
        <v>872</v>
      </c>
      <c r="B826" s="8">
        <v>45798</v>
      </c>
      <c r="C826" t="s">
        <v>2</v>
      </c>
      <c r="D826" t="s">
        <v>39</v>
      </c>
      <c r="E826" t="s">
        <v>40</v>
      </c>
      <c r="F826" t="s">
        <v>55</v>
      </c>
      <c r="G826" t="s">
        <v>37</v>
      </c>
      <c r="H826">
        <v>1</v>
      </c>
      <c r="I826">
        <v>1</v>
      </c>
      <c r="J826">
        <v>1</v>
      </c>
      <c r="K826">
        <v>1</v>
      </c>
      <c r="L826">
        <v>782.23</v>
      </c>
      <c r="M826">
        <v>1</v>
      </c>
      <c r="N826">
        <v>1</v>
      </c>
      <c r="O826">
        <v>0</v>
      </c>
      <c r="P826">
        <v>6</v>
      </c>
      <c r="Q826">
        <v>93.2</v>
      </c>
    </row>
    <row r="827" spans="1:17">
      <c r="A827" t="s">
        <v>873</v>
      </c>
      <c r="B827" s="8">
        <v>45802</v>
      </c>
      <c r="C827" t="s">
        <v>2</v>
      </c>
      <c r="D827" t="s">
        <v>44</v>
      </c>
      <c r="E827" t="s">
        <v>35</v>
      </c>
      <c r="F827" t="s">
        <v>55</v>
      </c>
      <c r="G827" t="s">
        <v>42</v>
      </c>
      <c r="H827">
        <v>1</v>
      </c>
      <c r="I827">
        <v>0</v>
      </c>
      <c r="J827">
        <v>0</v>
      </c>
      <c r="K827">
        <v>0</v>
      </c>
      <c r="L827">
        <v>0</v>
      </c>
      <c r="M827">
        <v>3</v>
      </c>
      <c r="N827">
        <v>1</v>
      </c>
      <c r="O827">
        <v>0</v>
      </c>
      <c r="Q827">
        <v>77.5</v>
      </c>
    </row>
    <row r="828" spans="1:17">
      <c r="A828" t="s">
        <v>874</v>
      </c>
      <c r="B828" s="8">
        <v>45662</v>
      </c>
      <c r="C828" t="s">
        <v>2</v>
      </c>
      <c r="D828" t="s">
        <v>39</v>
      </c>
      <c r="E828" t="s">
        <v>40</v>
      </c>
      <c r="F828" t="s">
        <v>36</v>
      </c>
      <c r="G828" t="s">
        <v>37</v>
      </c>
      <c r="H828">
        <v>1</v>
      </c>
      <c r="I828">
        <v>0</v>
      </c>
      <c r="J828">
        <v>0</v>
      </c>
      <c r="K828">
        <v>0</v>
      </c>
      <c r="L828">
        <v>0</v>
      </c>
      <c r="M828">
        <v>0</v>
      </c>
      <c r="N828">
        <v>0</v>
      </c>
      <c r="O828">
        <v>0</v>
      </c>
      <c r="Q828">
        <v>61</v>
      </c>
    </row>
    <row r="829" spans="1:17">
      <c r="A829" t="s">
        <v>875</v>
      </c>
      <c r="B829" s="8">
        <v>45712</v>
      </c>
      <c r="C829" t="s">
        <v>2</v>
      </c>
      <c r="D829" t="s">
        <v>48</v>
      </c>
      <c r="E829" t="s">
        <v>35</v>
      </c>
      <c r="F829" t="s">
        <v>41</v>
      </c>
      <c r="G829" t="s">
        <v>42</v>
      </c>
      <c r="H829">
        <v>1</v>
      </c>
      <c r="I829">
        <v>1</v>
      </c>
      <c r="J829">
        <v>0</v>
      </c>
      <c r="K829">
        <v>0</v>
      </c>
      <c r="L829">
        <v>0</v>
      </c>
      <c r="M829">
        <v>0</v>
      </c>
      <c r="N829">
        <v>0</v>
      </c>
      <c r="O829">
        <v>0</v>
      </c>
      <c r="Q829">
        <v>64.900000000000006</v>
      </c>
    </row>
    <row r="830" spans="1:17">
      <c r="A830" t="s">
        <v>876</v>
      </c>
      <c r="B830" s="8">
        <v>45678</v>
      </c>
      <c r="C830" t="s">
        <v>2</v>
      </c>
      <c r="D830" t="s">
        <v>44</v>
      </c>
      <c r="E830" t="s">
        <v>40</v>
      </c>
      <c r="F830" t="s">
        <v>45</v>
      </c>
      <c r="G830" t="s">
        <v>37</v>
      </c>
      <c r="H830">
        <v>1</v>
      </c>
      <c r="I830">
        <v>0</v>
      </c>
      <c r="J830">
        <v>0</v>
      </c>
      <c r="K830">
        <v>0</v>
      </c>
      <c r="L830">
        <v>0</v>
      </c>
      <c r="M830">
        <v>0</v>
      </c>
      <c r="N830">
        <v>0</v>
      </c>
      <c r="O830">
        <v>0</v>
      </c>
      <c r="Q830">
        <v>87.5</v>
      </c>
    </row>
    <row r="831" spans="1:17">
      <c r="A831" t="s">
        <v>877</v>
      </c>
      <c r="B831" s="8">
        <v>45771</v>
      </c>
      <c r="C831" t="s">
        <v>2</v>
      </c>
      <c r="D831" t="s">
        <v>34</v>
      </c>
      <c r="E831" t="s">
        <v>40</v>
      </c>
      <c r="F831" t="s">
        <v>41</v>
      </c>
      <c r="G831" t="s">
        <v>37</v>
      </c>
      <c r="H831">
        <v>1</v>
      </c>
      <c r="I831">
        <v>1</v>
      </c>
      <c r="J831">
        <v>1</v>
      </c>
      <c r="K831">
        <v>1</v>
      </c>
      <c r="L831">
        <v>1171.99</v>
      </c>
      <c r="M831">
        <v>0</v>
      </c>
      <c r="N831">
        <v>0</v>
      </c>
      <c r="O831">
        <v>0</v>
      </c>
      <c r="P831">
        <v>5</v>
      </c>
      <c r="Q831">
        <v>80.599999999999994</v>
      </c>
    </row>
    <row r="832" spans="1:17">
      <c r="A832" t="s">
        <v>878</v>
      </c>
      <c r="B832" s="8">
        <v>45664</v>
      </c>
      <c r="C832" t="s">
        <v>2</v>
      </c>
      <c r="D832" t="s">
        <v>39</v>
      </c>
      <c r="E832" t="s">
        <v>35</v>
      </c>
      <c r="F832" t="s">
        <v>41</v>
      </c>
      <c r="G832" t="s">
        <v>42</v>
      </c>
      <c r="H832">
        <v>1</v>
      </c>
      <c r="I832">
        <v>0</v>
      </c>
      <c r="J832">
        <v>0</v>
      </c>
      <c r="K832">
        <v>0</v>
      </c>
      <c r="L832">
        <v>0</v>
      </c>
      <c r="M832">
        <v>0</v>
      </c>
      <c r="N832">
        <v>0</v>
      </c>
      <c r="O832">
        <v>0</v>
      </c>
      <c r="Q832">
        <v>66.900000000000006</v>
      </c>
    </row>
    <row r="833" spans="1:17">
      <c r="A833" t="s">
        <v>879</v>
      </c>
      <c r="B833" s="8">
        <v>45808</v>
      </c>
      <c r="C833" t="s">
        <v>2</v>
      </c>
      <c r="D833" t="s">
        <v>48</v>
      </c>
      <c r="E833" t="s">
        <v>50</v>
      </c>
      <c r="F833" t="s">
        <v>41</v>
      </c>
      <c r="G833" t="s">
        <v>37</v>
      </c>
      <c r="H833">
        <v>1</v>
      </c>
      <c r="I833">
        <v>1</v>
      </c>
      <c r="J833">
        <v>1</v>
      </c>
      <c r="K833">
        <v>0</v>
      </c>
      <c r="L833">
        <v>0</v>
      </c>
      <c r="M833">
        <v>0</v>
      </c>
      <c r="N833">
        <v>0</v>
      </c>
      <c r="O833">
        <v>0</v>
      </c>
      <c r="Q833">
        <v>58.8</v>
      </c>
    </row>
    <row r="834" spans="1:17">
      <c r="A834" t="s">
        <v>880</v>
      </c>
      <c r="B834" s="8">
        <v>45749</v>
      </c>
      <c r="C834" t="s">
        <v>2</v>
      </c>
      <c r="D834" t="s">
        <v>34</v>
      </c>
      <c r="E834" t="s">
        <v>35</v>
      </c>
      <c r="F834" t="s">
        <v>41</v>
      </c>
      <c r="G834" t="s">
        <v>37</v>
      </c>
      <c r="H834">
        <v>1</v>
      </c>
      <c r="I834">
        <v>1</v>
      </c>
      <c r="J834">
        <v>1</v>
      </c>
      <c r="K834">
        <v>1</v>
      </c>
      <c r="L834">
        <v>1010.4</v>
      </c>
      <c r="M834">
        <v>0</v>
      </c>
      <c r="N834">
        <v>0</v>
      </c>
      <c r="O834">
        <v>0</v>
      </c>
      <c r="P834">
        <v>4</v>
      </c>
      <c r="Q834">
        <v>42.9</v>
      </c>
    </row>
    <row r="835" spans="1:17">
      <c r="A835" t="s">
        <v>881</v>
      </c>
      <c r="B835" s="8">
        <v>45768</v>
      </c>
      <c r="C835" t="s">
        <v>2</v>
      </c>
      <c r="D835" t="s">
        <v>44</v>
      </c>
      <c r="E835" t="s">
        <v>40</v>
      </c>
      <c r="F835" t="s">
        <v>41</v>
      </c>
      <c r="G835" t="s">
        <v>42</v>
      </c>
      <c r="H835">
        <v>1</v>
      </c>
      <c r="I835">
        <v>1</v>
      </c>
      <c r="J835">
        <v>1</v>
      </c>
      <c r="K835">
        <v>0</v>
      </c>
      <c r="L835">
        <v>0</v>
      </c>
      <c r="M835">
        <v>1</v>
      </c>
      <c r="N835">
        <v>1</v>
      </c>
      <c r="O835">
        <v>0</v>
      </c>
      <c r="Q835">
        <v>60.2</v>
      </c>
    </row>
    <row r="836" spans="1:17">
      <c r="A836" t="s">
        <v>882</v>
      </c>
      <c r="B836" s="8">
        <v>45782</v>
      </c>
      <c r="C836" t="s">
        <v>2</v>
      </c>
      <c r="D836" t="s">
        <v>44</v>
      </c>
      <c r="E836" t="s">
        <v>40</v>
      </c>
      <c r="F836" t="s">
        <v>45</v>
      </c>
      <c r="G836" t="s">
        <v>37</v>
      </c>
      <c r="H836">
        <v>1</v>
      </c>
      <c r="I836">
        <v>0</v>
      </c>
      <c r="J836">
        <v>0</v>
      </c>
      <c r="K836">
        <v>0</v>
      </c>
      <c r="L836">
        <v>0</v>
      </c>
      <c r="M836">
        <v>0</v>
      </c>
      <c r="N836">
        <v>0</v>
      </c>
      <c r="O836">
        <v>0</v>
      </c>
      <c r="Q836">
        <v>42.7</v>
      </c>
    </row>
    <row r="837" spans="1:17">
      <c r="A837" t="s">
        <v>883</v>
      </c>
      <c r="B837" s="8">
        <v>45663</v>
      </c>
      <c r="C837" t="s">
        <v>2</v>
      </c>
      <c r="D837" t="s">
        <v>34</v>
      </c>
      <c r="E837" t="s">
        <v>35</v>
      </c>
      <c r="F837" t="s">
        <v>57</v>
      </c>
      <c r="G837" t="s">
        <v>42</v>
      </c>
      <c r="H837">
        <v>1</v>
      </c>
      <c r="I837">
        <v>1</v>
      </c>
      <c r="J837">
        <v>1</v>
      </c>
      <c r="K837">
        <v>1</v>
      </c>
      <c r="L837">
        <v>431.27</v>
      </c>
      <c r="M837">
        <v>0</v>
      </c>
      <c r="N837">
        <v>0</v>
      </c>
      <c r="O837">
        <v>0</v>
      </c>
      <c r="P837">
        <v>7</v>
      </c>
      <c r="Q837">
        <v>60.8</v>
      </c>
    </row>
    <row r="838" spans="1:17">
      <c r="A838" t="s">
        <v>884</v>
      </c>
      <c r="B838" s="8">
        <v>45771</v>
      </c>
      <c r="C838" t="s">
        <v>2</v>
      </c>
      <c r="D838" t="s">
        <v>48</v>
      </c>
      <c r="E838" t="s">
        <v>40</v>
      </c>
      <c r="F838" t="s">
        <v>55</v>
      </c>
      <c r="G838" t="s">
        <v>42</v>
      </c>
      <c r="H838">
        <v>1</v>
      </c>
      <c r="I838">
        <v>1</v>
      </c>
      <c r="J838">
        <v>1</v>
      </c>
      <c r="K838">
        <v>1</v>
      </c>
      <c r="L838">
        <v>428.8</v>
      </c>
      <c r="M838">
        <v>0</v>
      </c>
      <c r="N838">
        <v>0</v>
      </c>
      <c r="O838">
        <v>0</v>
      </c>
      <c r="P838">
        <v>9</v>
      </c>
      <c r="Q838">
        <v>79.3</v>
      </c>
    </row>
    <row r="839" spans="1:17">
      <c r="A839" t="s">
        <v>885</v>
      </c>
      <c r="B839" s="8">
        <v>45768</v>
      </c>
      <c r="C839" t="s">
        <v>2</v>
      </c>
      <c r="D839" t="s">
        <v>48</v>
      </c>
      <c r="E839" t="s">
        <v>40</v>
      </c>
      <c r="F839" t="s">
        <v>41</v>
      </c>
      <c r="G839" t="s">
        <v>37</v>
      </c>
      <c r="H839">
        <v>1</v>
      </c>
      <c r="I839">
        <v>0</v>
      </c>
      <c r="J839">
        <v>0</v>
      </c>
      <c r="K839">
        <v>0</v>
      </c>
      <c r="L839">
        <v>0</v>
      </c>
      <c r="M839">
        <v>1</v>
      </c>
      <c r="N839">
        <v>1</v>
      </c>
      <c r="O839">
        <v>0</v>
      </c>
      <c r="Q839">
        <v>88.6</v>
      </c>
    </row>
    <row r="840" spans="1:17">
      <c r="A840" t="s">
        <v>886</v>
      </c>
      <c r="B840" s="8">
        <v>45697</v>
      </c>
      <c r="C840" t="s">
        <v>2</v>
      </c>
      <c r="D840" t="s">
        <v>39</v>
      </c>
      <c r="E840" t="s">
        <v>40</v>
      </c>
      <c r="F840" t="s">
        <v>41</v>
      </c>
      <c r="G840" t="s">
        <v>37</v>
      </c>
      <c r="H840">
        <v>1</v>
      </c>
      <c r="I840">
        <v>1</v>
      </c>
      <c r="J840">
        <v>1</v>
      </c>
      <c r="K840">
        <v>0</v>
      </c>
      <c r="L840">
        <v>0</v>
      </c>
      <c r="M840">
        <v>0</v>
      </c>
      <c r="N840">
        <v>0</v>
      </c>
      <c r="O840">
        <v>0</v>
      </c>
      <c r="Q840">
        <v>63.1</v>
      </c>
    </row>
    <row r="841" spans="1:17">
      <c r="A841" t="s">
        <v>887</v>
      </c>
      <c r="B841" s="8">
        <v>45666</v>
      </c>
      <c r="C841" t="s">
        <v>2</v>
      </c>
      <c r="D841" t="s">
        <v>44</v>
      </c>
      <c r="E841" t="s">
        <v>40</v>
      </c>
      <c r="F841" t="s">
        <v>41</v>
      </c>
      <c r="G841" t="s">
        <v>46</v>
      </c>
      <c r="H841">
        <v>1</v>
      </c>
      <c r="I841">
        <v>0</v>
      </c>
      <c r="J841">
        <v>0</v>
      </c>
      <c r="K841">
        <v>0</v>
      </c>
      <c r="L841">
        <v>0</v>
      </c>
      <c r="M841">
        <v>0</v>
      </c>
      <c r="N841">
        <v>0</v>
      </c>
      <c r="O841">
        <v>0</v>
      </c>
      <c r="Q841">
        <v>39.700000000000003</v>
      </c>
    </row>
    <row r="842" spans="1:17">
      <c r="A842" t="s">
        <v>888</v>
      </c>
      <c r="B842" s="8">
        <v>45704</v>
      </c>
      <c r="C842" t="s">
        <v>2</v>
      </c>
      <c r="D842" t="s">
        <v>34</v>
      </c>
      <c r="E842" t="s">
        <v>40</v>
      </c>
      <c r="F842" t="s">
        <v>45</v>
      </c>
      <c r="G842" t="s">
        <v>37</v>
      </c>
      <c r="H842">
        <v>0</v>
      </c>
      <c r="I842">
        <v>0</v>
      </c>
      <c r="J842">
        <v>0</v>
      </c>
      <c r="K842">
        <v>0</v>
      </c>
      <c r="L842">
        <v>0</v>
      </c>
      <c r="M842">
        <v>0</v>
      </c>
      <c r="N842">
        <v>0</v>
      </c>
      <c r="O842">
        <v>0</v>
      </c>
      <c r="Q842">
        <v>67.2</v>
      </c>
    </row>
    <row r="843" spans="1:17">
      <c r="A843" t="s">
        <v>889</v>
      </c>
      <c r="B843" s="8">
        <v>45709</v>
      </c>
      <c r="C843" t="s">
        <v>2</v>
      </c>
      <c r="D843" t="s">
        <v>48</v>
      </c>
      <c r="E843" t="s">
        <v>40</v>
      </c>
      <c r="F843" t="s">
        <v>41</v>
      </c>
      <c r="G843" t="s">
        <v>42</v>
      </c>
      <c r="H843">
        <v>1</v>
      </c>
      <c r="I843">
        <v>1</v>
      </c>
      <c r="J843">
        <v>1</v>
      </c>
      <c r="K843">
        <v>0</v>
      </c>
      <c r="L843">
        <v>0</v>
      </c>
      <c r="M843">
        <v>0</v>
      </c>
      <c r="N843">
        <v>0</v>
      </c>
      <c r="O843">
        <v>0</v>
      </c>
      <c r="Q843">
        <v>62.3</v>
      </c>
    </row>
    <row r="844" spans="1:17">
      <c r="A844" t="s">
        <v>890</v>
      </c>
      <c r="B844" s="8">
        <v>45696</v>
      </c>
      <c r="C844" t="s">
        <v>2</v>
      </c>
      <c r="D844" t="s">
        <v>48</v>
      </c>
      <c r="E844" t="s">
        <v>40</v>
      </c>
      <c r="F844" t="s">
        <v>41</v>
      </c>
      <c r="G844" t="s">
        <v>46</v>
      </c>
      <c r="H844">
        <v>1</v>
      </c>
      <c r="I844">
        <v>0</v>
      </c>
      <c r="J844">
        <v>0</v>
      </c>
      <c r="K844">
        <v>0</v>
      </c>
      <c r="L844">
        <v>0</v>
      </c>
      <c r="M844">
        <v>0</v>
      </c>
      <c r="N844">
        <v>0</v>
      </c>
      <c r="O844">
        <v>0</v>
      </c>
    </row>
    <row r="845" spans="1:17">
      <c r="A845" t="s">
        <v>891</v>
      </c>
      <c r="B845" s="8">
        <v>45679</v>
      </c>
      <c r="C845" t="s">
        <v>2</v>
      </c>
      <c r="D845" t="s">
        <v>48</v>
      </c>
      <c r="E845" t="s">
        <v>40</v>
      </c>
      <c r="F845" t="s">
        <v>45</v>
      </c>
      <c r="G845" t="s">
        <v>46</v>
      </c>
      <c r="H845">
        <v>0</v>
      </c>
      <c r="I845">
        <v>0</v>
      </c>
      <c r="J845">
        <v>0</v>
      </c>
      <c r="K845">
        <v>0</v>
      </c>
      <c r="L845">
        <v>0</v>
      </c>
      <c r="M845">
        <v>0</v>
      </c>
      <c r="N845">
        <v>0</v>
      </c>
      <c r="O845">
        <v>0</v>
      </c>
      <c r="Q845">
        <v>60.7</v>
      </c>
    </row>
    <row r="846" spans="1:17">
      <c r="A846" t="s">
        <v>892</v>
      </c>
      <c r="B846" s="8">
        <v>45748</v>
      </c>
      <c r="C846" t="s">
        <v>2</v>
      </c>
      <c r="D846" t="s">
        <v>39</v>
      </c>
      <c r="E846" t="s">
        <v>40</v>
      </c>
      <c r="F846" t="s">
        <v>41</v>
      </c>
      <c r="G846" t="s">
        <v>37</v>
      </c>
      <c r="H846">
        <v>1</v>
      </c>
      <c r="I846">
        <v>0</v>
      </c>
      <c r="J846">
        <v>0</v>
      </c>
      <c r="K846">
        <v>0</v>
      </c>
      <c r="L846">
        <v>0</v>
      </c>
      <c r="M846">
        <v>0</v>
      </c>
      <c r="N846">
        <v>0</v>
      </c>
      <c r="O846">
        <v>0</v>
      </c>
      <c r="Q846">
        <v>61.5</v>
      </c>
    </row>
    <row r="847" spans="1:17">
      <c r="A847" t="s">
        <v>893</v>
      </c>
      <c r="B847" s="8">
        <v>45678</v>
      </c>
      <c r="C847" t="s">
        <v>2</v>
      </c>
      <c r="D847" t="s">
        <v>34</v>
      </c>
      <c r="E847" t="s">
        <v>40</v>
      </c>
      <c r="F847" t="s">
        <v>45</v>
      </c>
      <c r="G847" t="s">
        <v>37</v>
      </c>
      <c r="H847">
        <v>1</v>
      </c>
      <c r="I847">
        <v>0</v>
      </c>
      <c r="J847">
        <v>0</v>
      </c>
      <c r="K847">
        <v>0</v>
      </c>
      <c r="L847">
        <v>0</v>
      </c>
      <c r="M847">
        <v>0</v>
      </c>
      <c r="N847">
        <v>0</v>
      </c>
      <c r="O847">
        <v>0</v>
      </c>
      <c r="Q847">
        <v>75</v>
      </c>
    </row>
    <row r="848" spans="1:17">
      <c r="A848" t="s">
        <v>894</v>
      </c>
      <c r="B848" s="8">
        <v>45659</v>
      </c>
      <c r="C848" t="s">
        <v>2</v>
      </c>
      <c r="D848" t="s">
        <v>44</v>
      </c>
      <c r="E848" t="s">
        <v>35</v>
      </c>
      <c r="F848" t="s">
        <v>41</v>
      </c>
      <c r="G848" t="s">
        <v>42</v>
      </c>
      <c r="H848">
        <v>1</v>
      </c>
      <c r="I848">
        <v>1</v>
      </c>
      <c r="J848">
        <v>0</v>
      </c>
      <c r="K848">
        <v>0</v>
      </c>
      <c r="L848">
        <v>0</v>
      </c>
      <c r="M848">
        <v>0</v>
      </c>
      <c r="N848">
        <v>0</v>
      </c>
      <c r="O848">
        <v>0</v>
      </c>
      <c r="Q848">
        <v>51.9</v>
      </c>
    </row>
    <row r="849" spans="1:17">
      <c r="A849" t="s">
        <v>895</v>
      </c>
      <c r="B849" s="8">
        <v>45789</v>
      </c>
      <c r="C849" t="s">
        <v>2</v>
      </c>
      <c r="D849" t="s">
        <v>48</v>
      </c>
      <c r="E849" t="s">
        <v>35</v>
      </c>
      <c r="F849" t="s">
        <v>45</v>
      </c>
      <c r="G849" t="s">
        <v>42</v>
      </c>
      <c r="H849">
        <v>0</v>
      </c>
      <c r="I849">
        <v>0</v>
      </c>
      <c r="J849">
        <v>0</v>
      </c>
      <c r="K849">
        <v>0</v>
      </c>
      <c r="L849">
        <v>0</v>
      </c>
      <c r="M849">
        <v>0</v>
      </c>
      <c r="N849">
        <v>0</v>
      </c>
      <c r="O849">
        <v>0</v>
      </c>
      <c r="Q849">
        <v>34.5</v>
      </c>
    </row>
    <row r="850" spans="1:17">
      <c r="A850" t="s">
        <v>896</v>
      </c>
      <c r="B850" s="8">
        <v>45721</v>
      </c>
      <c r="C850" t="s">
        <v>2</v>
      </c>
      <c r="D850" t="s">
        <v>48</v>
      </c>
      <c r="E850" t="s">
        <v>40</v>
      </c>
      <c r="F850" t="s">
        <v>57</v>
      </c>
      <c r="G850" t="s">
        <v>37</v>
      </c>
      <c r="H850">
        <v>0</v>
      </c>
      <c r="I850">
        <v>0</v>
      </c>
      <c r="J850">
        <v>0</v>
      </c>
      <c r="K850">
        <v>0</v>
      </c>
      <c r="L850">
        <v>0</v>
      </c>
      <c r="M850">
        <v>0</v>
      </c>
      <c r="N850">
        <v>0</v>
      </c>
      <c r="O850">
        <v>0</v>
      </c>
      <c r="Q850">
        <v>54.5</v>
      </c>
    </row>
    <row r="851" spans="1:17">
      <c r="A851" t="s">
        <v>897</v>
      </c>
      <c r="B851" s="8">
        <v>45681</v>
      </c>
      <c r="C851" t="s">
        <v>2</v>
      </c>
      <c r="D851" t="s">
        <v>44</v>
      </c>
      <c r="E851" t="s">
        <v>40</v>
      </c>
      <c r="F851" t="s">
        <v>41</v>
      </c>
      <c r="G851" t="s">
        <v>42</v>
      </c>
      <c r="H851">
        <v>0</v>
      </c>
      <c r="I851">
        <v>0</v>
      </c>
      <c r="J851">
        <v>0</v>
      </c>
      <c r="K851">
        <v>0</v>
      </c>
      <c r="L851">
        <v>0</v>
      </c>
      <c r="M851">
        <v>0</v>
      </c>
      <c r="N851">
        <v>0</v>
      </c>
      <c r="O851">
        <v>0</v>
      </c>
      <c r="Q851">
        <v>46</v>
      </c>
    </row>
    <row r="852" spans="1:17">
      <c r="A852" t="s">
        <v>898</v>
      </c>
      <c r="B852" s="8">
        <v>45688</v>
      </c>
      <c r="C852" t="s">
        <v>2</v>
      </c>
      <c r="D852" t="s">
        <v>44</v>
      </c>
      <c r="E852" t="s">
        <v>35</v>
      </c>
      <c r="F852" t="s">
        <v>36</v>
      </c>
      <c r="G852" t="s">
        <v>42</v>
      </c>
      <c r="H852">
        <v>1</v>
      </c>
      <c r="I852">
        <v>1</v>
      </c>
      <c r="J852">
        <v>1</v>
      </c>
      <c r="K852">
        <v>0</v>
      </c>
      <c r="L852">
        <v>0</v>
      </c>
      <c r="M852">
        <v>0</v>
      </c>
      <c r="N852">
        <v>0</v>
      </c>
      <c r="O852">
        <v>0</v>
      </c>
      <c r="Q852">
        <v>88.4</v>
      </c>
    </row>
    <row r="853" spans="1:17">
      <c r="A853" t="s">
        <v>899</v>
      </c>
      <c r="B853" s="8">
        <v>45681</v>
      </c>
      <c r="C853" t="s">
        <v>2</v>
      </c>
      <c r="D853" t="s">
        <v>34</v>
      </c>
      <c r="E853" t="s">
        <v>50</v>
      </c>
      <c r="F853" t="s">
        <v>41</v>
      </c>
      <c r="G853" t="s">
        <v>37</v>
      </c>
      <c r="H853">
        <v>1</v>
      </c>
      <c r="I853">
        <v>0</v>
      </c>
      <c r="J853">
        <v>0</v>
      </c>
      <c r="K853">
        <v>0</v>
      </c>
      <c r="L853">
        <v>0</v>
      </c>
      <c r="M853">
        <v>0</v>
      </c>
      <c r="N853">
        <v>0</v>
      </c>
      <c r="O853">
        <v>0</v>
      </c>
      <c r="Q853">
        <v>69.5</v>
      </c>
    </row>
    <row r="854" spans="1:17">
      <c r="A854" t="s">
        <v>900</v>
      </c>
      <c r="B854" s="8">
        <v>45702</v>
      </c>
      <c r="C854" t="s">
        <v>2</v>
      </c>
      <c r="D854" t="s">
        <v>34</v>
      </c>
      <c r="E854" t="s">
        <v>35</v>
      </c>
      <c r="F854" t="s">
        <v>55</v>
      </c>
      <c r="G854" t="s">
        <v>37</v>
      </c>
      <c r="H854">
        <v>1</v>
      </c>
      <c r="I854">
        <v>1</v>
      </c>
      <c r="J854">
        <v>1</v>
      </c>
      <c r="K854">
        <v>0</v>
      </c>
      <c r="L854">
        <v>0</v>
      </c>
      <c r="M854">
        <v>0</v>
      </c>
      <c r="N854">
        <v>0</v>
      </c>
      <c r="O854">
        <v>0</v>
      </c>
      <c r="Q854">
        <v>74.2</v>
      </c>
    </row>
    <row r="855" spans="1:17">
      <c r="A855" t="s">
        <v>901</v>
      </c>
      <c r="B855" s="8">
        <v>45804</v>
      </c>
      <c r="C855" t="s">
        <v>2</v>
      </c>
      <c r="D855" t="s">
        <v>34</v>
      </c>
      <c r="E855" t="s">
        <v>40</v>
      </c>
      <c r="F855" t="s">
        <v>41</v>
      </c>
      <c r="G855" t="s">
        <v>42</v>
      </c>
      <c r="H855">
        <v>1</v>
      </c>
      <c r="I855">
        <v>1</v>
      </c>
      <c r="J855">
        <v>1</v>
      </c>
      <c r="K855">
        <v>0</v>
      </c>
      <c r="L855">
        <v>0</v>
      </c>
      <c r="M855">
        <v>0</v>
      </c>
      <c r="N855">
        <v>0</v>
      </c>
      <c r="O855">
        <v>0</v>
      </c>
      <c r="Q855">
        <v>72.099999999999994</v>
      </c>
    </row>
    <row r="856" spans="1:17">
      <c r="A856" t="s">
        <v>902</v>
      </c>
      <c r="B856" s="8">
        <v>45716</v>
      </c>
      <c r="C856" t="s">
        <v>2</v>
      </c>
      <c r="D856" t="s">
        <v>34</v>
      </c>
      <c r="E856" t="s">
        <v>40</v>
      </c>
      <c r="F856" t="s">
        <v>45</v>
      </c>
      <c r="G856" t="s">
        <v>42</v>
      </c>
      <c r="H856">
        <v>1</v>
      </c>
      <c r="I856">
        <v>1</v>
      </c>
      <c r="J856">
        <v>1</v>
      </c>
      <c r="K856">
        <v>1</v>
      </c>
      <c r="L856">
        <v>398.33</v>
      </c>
      <c r="M856">
        <v>0</v>
      </c>
      <c r="N856">
        <v>0</v>
      </c>
      <c r="O856">
        <v>0</v>
      </c>
      <c r="P856">
        <v>5</v>
      </c>
      <c r="Q856">
        <v>85.1</v>
      </c>
    </row>
    <row r="857" spans="1:17">
      <c r="A857" t="s">
        <v>903</v>
      </c>
      <c r="B857" s="8">
        <v>45804</v>
      </c>
      <c r="C857" t="s">
        <v>2</v>
      </c>
      <c r="D857" t="s">
        <v>34</v>
      </c>
      <c r="E857" t="s">
        <v>40</v>
      </c>
      <c r="F857" t="s">
        <v>41</v>
      </c>
      <c r="G857" t="s">
        <v>37</v>
      </c>
      <c r="H857">
        <v>1</v>
      </c>
      <c r="I857">
        <v>1</v>
      </c>
      <c r="J857">
        <v>1</v>
      </c>
      <c r="K857">
        <v>0</v>
      </c>
      <c r="L857">
        <v>0</v>
      </c>
      <c r="M857">
        <v>0</v>
      </c>
      <c r="N857">
        <v>0</v>
      </c>
      <c r="O857">
        <v>0</v>
      </c>
      <c r="Q857">
        <v>49.5</v>
      </c>
    </row>
    <row r="858" spans="1:17">
      <c r="A858" t="s">
        <v>904</v>
      </c>
      <c r="B858" s="8">
        <v>45794</v>
      </c>
      <c r="C858" t="s">
        <v>2</v>
      </c>
      <c r="D858" t="s">
        <v>48</v>
      </c>
      <c r="E858" t="s">
        <v>40</v>
      </c>
      <c r="F858" t="s">
        <v>45</v>
      </c>
      <c r="G858" t="s">
        <v>46</v>
      </c>
      <c r="H858">
        <v>0</v>
      </c>
      <c r="I858">
        <v>0</v>
      </c>
      <c r="J858">
        <v>0</v>
      </c>
      <c r="K858">
        <v>0</v>
      </c>
      <c r="L858">
        <v>0</v>
      </c>
      <c r="M858">
        <v>1</v>
      </c>
      <c r="N858">
        <v>1</v>
      </c>
      <c r="O858">
        <v>0</v>
      </c>
      <c r="Q858">
        <v>79</v>
      </c>
    </row>
    <row r="859" spans="1:17">
      <c r="A859" t="s">
        <v>905</v>
      </c>
      <c r="B859" s="8">
        <v>45667</v>
      </c>
      <c r="C859" t="s">
        <v>2</v>
      </c>
      <c r="D859" t="s">
        <v>39</v>
      </c>
      <c r="E859" t="s">
        <v>35</v>
      </c>
      <c r="F859" t="s">
        <v>57</v>
      </c>
      <c r="G859" t="s">
        <v>42</v>
      </c>
      <c r="H859">
        <v>0</v>
      </c>
      <c r="I859">
        <v>0</v>
      </c>
      <c r="J859">
        <v>0</v>
      </c>
      <c r="K859">
        <v>0</v>
      </c>
      <c r="L859">
        <v>0</v>
      </c>
      <c r="M859">
        <v>0</v>
      </c>
      <c r="N859">
        <v>0</v>
      </c>
      <c r="O859">
        <v>0</v>
      </c>
      <c r="Q859">
        <v>71.8</v>
      </c>
    </row>
    <row r="860" spans="1:17">
      <c r="A860" t="s">
        <v>906</v>
      </c>
      <c r="B860" s="8">
        <v>45769</v>
      </c>
      <c r="C860" t="s">
        <v>2</v>
      </c>
      <c r="D860" t="s">
        <v>34</v>
      </c>
      <c r="E860" t="s">
        <v>40</v>
      </c>
      <c r="F860" t="s">
        <v>36</v>
      </c>
      <c r="G860" t="s">
        <v>37</v>
      </c>
      <c r="H860">
        <v>1</v>
      </c>
      <c r="I860">
        <v>1</v>
      </c>
      <c r="J860">
        <v>1</v>
      </c>
      <c r="K860">
        <v>1</v>
      </c>
      <c r="L860">
        <v>1117.54</v>
      </c>
      <c r="M860">
        <v>0</v>
      </c>
      <c r="N860">
        <v>0</v>
      </c>
      <c r="O860">
        <v>0</v>
      </c>
      <c r="P860">
        <v>6</v>
      </c>
      <c r="Q860">
        <v>60.4</v>
      </c>
    </row>
    <row r="861" spans="1:17">
      <c r="A861" t="s">
        <v>907</v>
      </c>
      <c r="B861" s="8">
        <v>45718</v>
      </c>
      <c r="C861" t="s">
        <v>2</v>
      </c>
      <c r="D861" t="s">
        <v>48</v>
      </c>
      <c r="E861" t="s">
        <v>35</v>
      </c>
      <c r="F861" t="s">
        <v>41</v>
      </c>
      <c r="G861" t="s">
        <v>37</v>
      </c>
      <c r="H861">
        <v>1</v>
      </c>
      <c r="I861">
        <v>0</v>
      </c>
      <c r="J861">
        <v>0</v>
      </c>
      <c r="K861">
        <v>0</v>
      </c>
      <c r="L861">
        <v>0</v>
      </c>
      <c r="M861">
        <v>2</v>
      </c>
      <c r="N861">
        <v>1</v>
      </c>
      <c r="O861">
        <v>0</v>
      </c>
      <c r="Q861">
        <v>38.299999999999997</v>
      </c>
    </row>
    <row r="862" spans="1:17">
      <c r="A862" t="s">
        <v>908</v>
      </c>
      <c r="B862" s="8">
        <v>45739</v>
      </c>
      <c r="C862" t="s">
        <v>2</v>
      </c>
      <c r="D862" t="s">
        <v>44</v>
      </c>
      <c r="E862" t="s">
        <v>40</v>
      </c>
      <c r="F862" t="s">
        <v>45</v>
      </c>
      <c r="G862" t="s">
        <v>42</v>
      </c>
      <c r="H862">
        <v>1</v>
      </c>
      <c r="I862">
        <v>1</v>
      </c>
      <c r="J862">
        <v>1</v>
      </c>
      <c r="K862">
        <v>0</v>
      </c>
      <c r="L862">
        <v>0</v>
      </c>
      <c r="M862">
        <v>0</v>
      </c>
      <c r="N862">
        <v>0</v>
      </c>
      <c r="O862">
        <v>0</v>
      </c>
      <c r="Q862">
        <v>79.599999999999994</v>
      </c>
    </row>
    <row r="863" spans="1:17">
      <c r="A863" t="s">
        <v>909</v>
      </c>
      <c r="B863" s="8">
        <v>45700</v>
      </c>
      <c r="C863" t="s">
        <v>2</v>
      </c>
      <c r="D863" t="s">
        <v>44</v>
      </c>
      <c r="E863" t="s">
        <v>40</v>
      </c>
      <c r="F863" t="s">
        <v>36</v>
      </c>
      <c r="G863" t="s">
        <v>42</v>
      </c>
      <c r="H863">
        <v>1</v>
      </c>
      <c r="I863">
        <v>1</v>
      </c>
      <c r="J863">
        <v>1</v>
      </c>
      <c r="K863">
        <v>0</v>
      </c>
      <c r="L863">
        <v>0</v>
      </c>
      <c r="M863">
        <v>0</v>
      </c>
      <c r="N863">
        <v>0</v>
      </c>
      <c r="O863">
        <v>0</v>
      </c>
      <c r="Q863">
        <v>71.900000000000006</v>
      </c>
    </row>
    <row r="864" spans="1:17">
      <c r="A864" t="s">
        <v>910</v>
      </c>
      <c r="B864" s="8">
        <v>45780</v>
      </c>
      <c r="C864" t="s">
        <v>2</v>
      </c>
      <c r="D864" t="s">
        <v>48</v>
      </c>
      <c r="E864" t="s">
        <v>40</v>
      </c>
      <c r="F864" t="s">
        <v>55</v>
      </c>
      <c r="G864" t="s">
        <v>37</v>
      </c>
      <c r="H864">
        <v>1</v>
      </c>
      <c r="I864">
        <v>0</v>
      </c>
      <c r="J864">
        <v>0</v>
      </c>
      <c r="K864">
        <v>0</v>
      </c>
      <c r="L864">
        <v>0</v>
      </c>
      <c r="M864">
        <v>0</v>
      </c>
      <c r="N864">
        <v>0</v>
      </c>
      <c r="O864">
        <v>0</v>
      </c>
      <c r="Q864">
        <v>54.6</v>
      </c>
    </row>
    <row r="865" spans="1:17">
      <c r="A865" t="s">
        <v>911</v>
      </c>
      <c r="B865" s="8">
        <v>45744</v>
      </c>
      <c r="C865" t="s">
        <v>2</v>
      </c>
      <c r="D865" t="s">
        <v>34</v>
      </c>
      <c r="E865" t="s">
        <v>35</v>
      </c>
      <c r="F865" t="s">
        <v>57</v>
      </c>
      <c r="G865" t="s">
        <v>42</v>
      </c>
      <c r="H865">
        <v>1</v>
      </c>
      <c r="I865">
        <v>0</v>
      </c>
      <c r="J865">
        <v>0</v>
      </c>
      <c r="K865">
        <v>0</v>
      </c>
      <c r="L865">
        <v>0</v>
      </c>
      <c r="M865">
        <v>3</v>
      </c>
      <c r="N865">
        <v>1</v>
      </c>
      <c r="O865">
        <v>0</v>
      </c>
      <c r="Q865">
        <v>49.3</v>
      </c>
    </row>
    <row r="866" spans="1:17">
      <c r="A866" t="s">
        <v>912</v>
      </c>
      <c r="B866" s="8">
        <v>45728</v>
      </c>
      <c r="C866" t="s">
        <v>2</v>
      </c>
      <c r="D866" t="s">
        <v>34</v>
      </c>
      <c r="E866" t="s">
        <v>40</v>
      </c>
      <c r="F866" t="s">
        <v>57</v>
      </c>
      <c r="G866" t="s">
        <v>37</v>
      </c>
      <c r="H866">
        <v>0</v>
      </c>
      <c r="I866">
        <v>0</v>
      </c>
      <c r="J866">
        <v>0</v>
      </c>
      <c r="K866">
        <v>0</v>
      </c>
      <c r="L866">
        <v>0</v>
      </c>
      <c r="M866">
        <v>1</v>
      </c>
      <c r="N866">
        <v>1</v>
      </c>
      <c r="O866">
        <v>0</v>
      </c>
      <c r="Q866">
        <v>66.900000000000006</v>
      </c>
    </row>
    <row r="867" spans="1:17">
      <c r="A867" t="s">
        <v>913</v>
      </c>
      <c r="B867" s="8">
        <v>45774</v>
      </c>
      <c r="C867" t="s">
        <v>2</v>
      </c>
      <c r="D867" t="s">
        <v>44</v>
      </c>
      <c r="E867" t="s">
        <v>40</v>
      </c>
      <c r="F867" t="s">
        <v>45</v>
      </c>
      <c r="G867" t="s">
        <v>42</v>
      </c>
      <c r="H867">
        <v>1</v>
      </c>
      <c r="I867">
        <v>0</v>
      </c>
      <c r="J867">
        <v>0</v>
      </c>
      <c r="K867">
        <v>0</v>
      </c>
      <c r="L867">
        <v>0</v>
      </c>
      <c r="M867">
        <v>1</v>
      </c>
      <c r="N867">
        <v>1</v>
      </c>
      <c r="O867">
        <v>0</v>
      </c>
      <c r="Q867">
        <v>77.8</v>
      </c>
    </row>
    <row r="868" spans="1:17">
      <c r="A868" t="s">
        <v>914</v>
      </c>
      <c r="B868" s="8">
        <v>45749</v>
      </c>
      <c r="C868" t="s">
        <v>2</v>
      </c>
      <c r="D868" t="s">
        <v>48</v>
      </c>
      <c r="E868" t="s">
        <v>40</v>
      </c>
      <c r="F868" t="s">
        <v>55</v>
      </c>
      <c r="G868" t="s">
        <v>37</v>
      </c>
      <c r="H868">
        <v>1</v>
      </c>
      <c r="I868">
        <v>0</v>
      </c>
      <c r="J868">
        <v>0</v>
      </c>
      <c r="K868">
        <v>0</v>
      </c>
      <c r="L868">
        <v>0</v>
      </c>
      <c r="M868">
        <v>0</v>
      </c>
      <c r="N868">
        <v>0</v>
      </c>
      <c r="O868">
        <v>0</v>
      </c>
      <c r="Q868">
        <v>63</v>
      </c>
    </row>
    <row r="869" spans="1:17">
      <c r="A869" t="s">
        <v>915</v>
      </c>
      <c r="B869" s="8">
        <v>45768</v>
      </c>
      <c r="C869" t="s">
        <v>2</v>
      </c>
      <c r="D869" t="s">
        <v>34</v>
      </c>
      <c r="E869" t="s">
        <v>40</v>
      </c>
      <c r="F869" t="s">
        <v>57</v>
      </c>
      <c r="G869" t="s">
        <v>42</v>
      </c>
      <c r="H869">
        <v>0</v>
      </c>
      <c r="I869">
        <v>0</v>
      </c>
      <c r="J869">
        <v>0</v>
      </c>
      <c r="K869">
        <v>0</v>
      </c>
      <c r="L869">
        <v>0</v>
      </c>
      <c r="M869">
        <v>0</v>
      </c>
      <c r="N869">
        <v>0</v>
      </c>
      <c r="O869">
        <v>0</v>
      </c>
      <c r="Q869">
        <v>79.8</v>
      </c>
    </row>
    <row r="870" spans="1:17">
      <c r="A870" t="s">
        <v>916</v>
      </c>
      <c r="B870" s="8">
        <v>45683</v>
      </c>
      <c r="C870" t="s">
        <v>2</v>
      </c>
      <c r="D870" t="s">
        <v>39</v>
      </c>
      <c r="E870" t="s">
        <v>35</v>
      </c>
      <c r="F870" t="s">
        <v>41</v>
      </c>
      <c r="G870" t="s">
        <v>37</v>
      </c>
      <c r="H870">
        <v>0</v>
      </c>
      <c r="I870">
        <v>0</v>
      </c>
      <c r="J870">
        <v>0</v>
      </c>
      <c r="K870">
        <v>0</v>
      </c>
      <c r="L870">
        <v>0</v>
      </c>
      <c r="M870">
        <v>0</v>
      </c>
      <c r="N870">
        <v>0</v>
      </c>
      <c r="O870">
        <v>0</v>
      </c>
      <c r="Q870">
        <v>69.900000000000006</v>
      </c>
    </row>
    <row r="871" spans="1:17">
      <c r="A871" t="s">
        <v>917</v>
      </c>
      <c r="B871" s="8">
        <v>45663</v>
      </c>
      <c r="C871" t="s">
        <v>2</v>
      </c>
      <c r="D871" t="s">
        <v>39</v>
      </c>
      <c r="E871" t="s">
        <v>40</v>
      </c>
      <c r="F871" t="s">
        <v>41</v>
      </c>
      <c r="G871" t="s">
        <v>42</v>
      </c>
      <c r="H871">
        <v>0</v>
      </c>
      <c r="I871">
        <v>0</v>
      </c>
      <c r="J871">
        <v>0</v>
      </c>
      <c r="K871">
        <v>0</v>
      </c>
      <c r="L871">
        <v>0</v>
      </c>
      <c r="M871">
        <v>1</v>
      </c>
      <c r="N871">
        <v>1</v>
      </c>
      <c r="O871">
        <v>0</v>
      </c>
      <c r="Q871">
        <v>66.400000000000006</v>
      </c>
    </row>
    <row r="872" spans="1:17">
      <c r="A872" t="s">
        <v>918</v>
      </c>
      <c r="B872" s="8">
        <v>45695</v>
      </c>
      <c r="C872" t="s">
        <v>2</v>
      </c>
      <c r="D872" t="s">
        <v>44</v>
      </c>
      <c r="E872" t="s">
        <v>40</v>
      </c>
      <c r="F872" t="s">
        <v>41</v>
      </c>
      <c r="G872" t="s">
        <v>42</v>
      </c>
      <c r="H872">
        <v>1</v>
      </c>
      <c r="I872">
        <v>0</v>
      </c>
      <c r="J872">
        <v>0</v>
      </c>
      <c r="K872">
        <v>0</v>
      </c>
      <c r="L872">
        <v>0</v>
      </c>
      <c r="M872">
        <v>0</v>
      </c>
      <c r="N872">
        <v>0</v>
      </c>
      <c r="O872">
        <v>0</v>
      </c>
      <c r="Q872">
        <v>27.6</v>
      </c>
    </row>
    <row r="873" spans="1:17">
      <c r="A873" t="s">
        <v>919</v>
      </c>
      <c r="B873" s="8">
        <v>45784</v>
      </c>
      <c r="C873" t="s">
        <v>2</v>
      </c>
      <c r="D873" t="s">
        <v>39</v>
      </c>
      <c r="E873" t="s">
        <v>40</v>
      </c>
      <c r="F873" t="s">
        <v>41</v>
      </c>
      <c r="G873" t="s">
        <v>46</v>
      </c>
      <c r="H873">
        <v>1</v>
      </c>
      <c r="I873">
        <v>0</v>
      </c>
      <c r="J873">
        <v>0</v>
      </c>
      <c r="K873">
        <v>0</v>
      </c>
      <c r="L873">
        <v>0</v>
      </c>
      <c r="M873">
        <v>1</v>
      </c>
      <c r="N873">
        <v>1</v>
      </c>
      <c r="O873">
        <v>0</v>
      </c>
      <c r="Q873">
        <v>56.5</v>
      </c>
    </row>
    <row r="874" spans="1:17">
      <c r="A874" t="s">
        <v>920</v>
      </c>
      <c r="B874" s="8">
        <v>45769</v>
      </c>
      <c r="C874" t="s">
        <v>2</v>
      </c>
      <c r="D874" t="s">
        <v>39</v>
      </c>
      <c r="F874" t="s">
        <v>57</v>
      </c>
      <c r="G874" t="s">
        <v>42</v>
      </c>
      <c r="H874">
        <v>1</v>
      </c>
      <c r="I874">
        <v>0</v>
      </c>
      <c r="J874">
        <v>0</v>
      </c>
      <c r="K874">
        <v>0</v>
      </c>
      <c r="L874">
        <v>0</v>
      </c>
      <c r="M874">
        <v>0</v>
      </c>
      <c r="N874">
        <v>0</v>
      </c>
      <c r="O874">
        <v>0</v>
      </c>
      <c r="Q874">
        <v>67.8</v>
      </c>
    </row>
    <row r="875" spans="1:17">
      <c r="A875" t="s">
        <v>921</v>
      </c>
      <c r="B875" s="8">
        <v>45781</v>
      </c>
      <c r="C875" t="s">
        <v>2</v>
      </c>
      <c r="D875" t="s">
        <v>39</v>
      </c>
      <c r="E875" t="s">
        <v>35</v>
      </c>
      <c r="F875" t="s">
        <v>57</v>
      </c>
      <c r="G875" t="s">
        <v>42</v>
      </c>
      <c r="H875">
        <v>1</v>
      </c>
      <c r="I875">
        <v>0</v>
      </c>
      <c r="J875">
        <v>0</v>
      </c>
      <c r="K875">
        <v>0</v>
      </c>
      <c r="L875">
        <v>0</v>
      </c>
      <c r="M875">
        <v>0</v>
      </c>
      <c r="N875">
        <v>0</v>
      </c>
      <c r="O875">
        <v>0</v>
      </c>
      <c r="Q875">
        <v>80</v>
      </c>
    </row>
    <row r="876" spans="1:17">
      <c r="A876" t="s">
        <v>922</v>
      </c>
      <c r="B876" s="8">
        <v>45793</v>
      </c>
      <c r="C876" t="s">
        <v>2</v>
      </c>
      <c r="D876" t="s">
        <v>48</v>
      </c>
      <c r="E876" t="s">
        <v>40</v>
      </c>
      <c r="F876" t="s">
        <v>57</v>
      </c>
      <c r="G876" t="s">
        <v>37</v>
      </c>
      <c r="H876">
        <v>1</v>
      </c>
      <c r="I876">
        <v>1</v>
      </c>
      <c r="J876">
        <v>1</v>
      </c>
      <c r="K876">
        <v>0</v>
      </c>
      <c r="L876">
        <v>0</v>
      </c>
      <c r="M876">
        <v>1</v>
      </c>
      <c r="N876">
        <v>1</v>
      </c>
      <c r="O876">
        <v>0</v>
      </c>
      <c r="Q876">
        <v>80.900000000000006</v>
      </c>
    </row>
    <row r="877" spans="1:17">
      <c r="A877" t="s">
        <v>923</v>
      </c>
      <c r="B877" s="8">
        <v>45699</v>
      </c>
      <c r="C877" t="s">
        <v>2</v>
      </c>
      <c r="D877" t="s">
        <v>39</v>
      </c>
      <c r="E877" t="s">
        <v>40</v>
      </c>
      <c r="F877" t="s">
        <v>45</v>
      </c>
      <c r="G877" t="s">
        <v>42</v>
      </c>
      <c r="H877">
        <v>0</v>
      </c>
      <c r="I877">
        <v>0</v>
      </c>
      <c r="J877">
        <v>0</v>
      </c>
      <c r="K877">
        <v>0</v>
      </c>
      <c r="L877">
        <v>0</v>
      </c>
      <c r="M877">
        <v>0</v>
      </c>
      <c r="N877">
        <v>0</v>
      </c>
      <c r="O877">
        <v>0</v>
      </c>
      <c r="Q877">
        <v>34.5</v>
      </c>
    </row>
    <row r="878" spans="1:17">
      <c r="A878" t="s">
        <v>924</v>
      </c>
      <c r="B878" s="8">
        <v>45786</v>
      </c>
      <c r="C878" t="s">
        <v>2</v>
      </c>
      <c r="D878" t="s">
        <v>44</v>
      </c>
      <c r="E878" t="s">
        <v>35</v>
      </c>
      <c r="F878" t="s">
        <v>41</v>
      </c>
      <c r="G878" t="s">
        <v>46</v>
      </c>
      <c r="H878">
        <v>1</v>
      </c>
      <c r="I878">
        <v>0</v>
      </c>
      <c r="J878">
        <v>0</v>
      </c>
      <c r="K878">
        <v>0</v>
      </c>
      <c r="L878">
        <v>0</v>
      </c>
      <c r="M878">
        <v>0</v>
      </c>
      <c r="N878">
        <v>0</v>
      </c>
      <c r="O878">
        <v>0</v>
      </c>
      <c r="Q878">
        <v>73.5</v>
      </c>
    </row>
    <row r="879" spans="1:17">
      <c r="A879" t="s">
        <v>925</v>
      </c>
      <c r="B879" s="8">
        <v>45697</v>
      </c>
      <c r="C879" t="s">
        <v>2</v>
      </c>
      <c r="D879" t="s">
        <v>48</v>
      </c>
      <c r="E879" t="s">
        <v>35</v>
      </c>
      <c r="F879" t="s">
        <v>45</v>
      </c>
      <c r="G879" t="s">
        <v>42</v>
      </c>
      <c r="H879">
        <v>1</v>
      </c>
      <c r="I879">
        <v>1</v>
      </c>
      <c r="J879">
        <v>0</v>
      </c>
      <c r="K879">
        <v>0</v>
      </c>
      <c r="L879">
        <v>0</v>
      </c>
      <c r="M879">
        <v>0</v>
      </c>
      <c r="N879">
        <v>0</v>
      </c>
      <c r="O879">
        <v>0</v>
      </c>
      <c r="Q879">
        <v>70</v>
      </c>
    </row>
    <row r="880" spans="1:17">
      <c r="A880" t="s">
        <v>926</v>
      </c>
      <c r="B880" s="8">
        <v>45799</v>
      </c>
      <c r="C880" t="s">
        <v>2</v>
      </c>
      <c r="D880" t="s">
        <v>39</v>
      </c>
      <c r="E880" t="s">
        <v>40</v>
      </c>
      <c r="F880" t="s">
        <v>57</v>
      </c>
      <c r="G880" t="s">
        <v>37</v>
      </c>
      <c r="H880">
        <v>0</v>
      </c>
      <c r="I880">
        <v>0</v>
      </c>
      <c r="J880">
        <v>0</v>
      </c>
      <c r="K880">
        <v>0</v>
      </c>
      <c r="L880">
        <v>0</v>
      </c>
      <c r="M880">
        <v>0</v>
      </c>
      <c r="N880">
        <v>0</v>
      </c>
      <c r="O880">
        <v>0</v>
      </c>
      <c r="Q880">
        <v>86.9</v>
      </c>
    </row>
    <row r="881" spans="1:17">
      <c r="A881" t="s">
        <v>927</v>
      </c>
      <c r="B881" s="8">
        <v>45801</v>
      </c>
      <c r="C881" t="s">
        <v>2</v>
      </c>
      <c r="D881" t="s">
        <v>44</v>
      </c>
      <c r="E881" t="s">
        <v>40</v>
      </c>
      <c r="F881" t="s">
        <v>57</v>
      </c>
      <c r="G881" t="s">
        <v>37</v>
      </c>
      <c r="H881">
        <v>0</v>
      </c>
      <c r="I881">
        <v>0</v>
      </c>
      <c r="J881">
        <v>0</v>
      </c>
      <c r="K881">
        <v>0</v>
      </c>
      <c r="L881">
        <v>0</v>
      </c>
      <c r="M881">
        <v>0</v>
      </c>
      <c r="N881">
        <v>0</v>
      </c>
      <c r="O881">
        <v>0</v>
      </c>
      <c r="Q881">
        <v>66.900000000000006</v>
      </c>
    </row>
    <row r="882" spans="1:17">
      <c r="A882" t="s">
        <v>928</v>
      </c>
      <c r="B882" s="8">
        <v>45774</v>
      </c>
      <c r="C882" t="s">
        <v>2</v>
      </c>
      <c r="D882" t="s">
        <v>48</v>
      </c>
      <c r="E882" t="s">
        <v>35</v>
      </c>
      <c r="F882" t="s">
        <v>57</v>
      </c>
      <c r="G882" t="s">
        <v>37</v>
      </c>
      <c r="H882">
        <v>1</v>
      </c>
      <c r="I882">
        <v>1</v>
      </c>
      <c r="J882">
        <v>1</v>
      </c>
      <c r="K882">
        <v>0</v>
      </c>
      <c r="L882">
        <v>0</v>
      </c>
      <c r="M882">
        <v>0</v>
      </c>
      <c r="N882">
        <v>0</v>
      </c>
      <c r="O882">
        <v>0</v>
      </c>
      <c r="Q882">
        <v>58.3</v>
      </c>
    </row>
    <row r="883" spans="1:17">
      <c r="A883" t="s">
        <v>929</v>
      </c>
      <c r="B883" s="8">
        <v>45735</v>
      </c>
      <c r="C883" t="s">
        <v>2</v>
      </c>
      <c r="D883" t="s">
        <v>44</v>
      </c>
      <c r="E883" t="s">
        <v>40</v>
      </c>
      <c r="F883" t="s">
        <v>45</v>
      </c>
      <c r="G883" t="s">
        <v>42</v>
      </c>
      <c r="H883">
        <v>1</v>
      </c>
      <c r="I883">
        <v>0</v>
      </c>
      <c r="J883">
        <v>0</v>
      </c>
      <c r="K883">
        <v>0</v>
      </c>
      <c r="L883">
        <v>0</v>
      </c>
      <c r="M883">
        <v>0</v>
      </c>
      <c r="N883">
        <v>0</v>
      </c>
      <c r="O883">
        <v>0</v>
      </c>
      <c r="Q883">
        <v>45</v>
      </c>
    </row>
    <row r="884" spans="1:17">
      <c r="A884" t="s">
        <v>930</v>
      </c>
      <c r="B884" s="8">
        <v>45797</v>
      </c>
      <c r="C884" t="s">
        <v>2</v>
      </c>
      <c r="D884" t="s">
        <v>48</v>
      </c>
      <c r="E884" t="s">
        <v>40</v>
      </c>
      <c r="F884" t="s">
        <v>41</v>
      </c>
      <c r="G884" t="s">
        <v>46</v>
      </c>
      <c r="H884">
        <v>0</v>
      </c>
      <c r="I884">
        <v>0</v>
      </c>
      <c r="J884">
        <v>0</v>
      </c>
      <c r="K884">
        <v>0</v>
      </c>
      <c r="L884">
        <v>0</v>
      </c>
      <c r="M884">
        <v>0</v>
      </c>
      <c r="N884">
        <v>0</v>
      </c>
      <c r="O884">
        <v>0</v>
      </c>
      <c r="Q884">
        <v>60.8</v>
      </c>
    </row>
    <row r="885" spans="1:17">
      <c r="A885" t="s">
        <v>931</v>
      </c>
      <c r="B885" s="8">
        <v>45787</v>
      </c>
      <c r="C885" t="s">
        <v>2</v>
      </c>
      <c r="D885" t="s">
        <v>34</v>
      </c>
      <c r="E885" t="s">
        <v>40</v>
      </c>
      <c r="F885" t="s">
        <v>36</v>
      </c>
      <c r="G885" t="s">
        <v>46</v>
      </c>
      <c r="H885">
        <v>1</v>
      </c>
      <c r="I885">
        <v>0</v>
      </c>
      <c r="J885">
        <v>0</v>
      </c>
      <c r="K885">
        <v>0</v>
      </c>
      <c r="L885">
        <v>0</v>
      </c>
      <c r="M885">
        <v>4</v>
      </c>
      <c r="N885">
        <v>1</v>
      </c>
      <c r="O885">
        <v>0</v>
      </c>
      <c r="Q885">
        <v>53.7</v>
      </c>
    </row>
    <row r="886" spans="1:17">
      <c r="A886" t="s">
        <v>932</v>
      </c>
      <c r="B886" s="8">
        <v>45745</v>
      </c>
      <c r="C886" t="s">
        <v>2</v>
      </c>
      <c r="D886" t="s">
        <v>44</v>
      </c>
      <c r="E886" t="s">
        <v>40</v>
      </c>
      <c r="F886" t="s">
        <v>57</v>
      </c>
      <c r="G886" t="s">
        <v>42</v>
      </c>
      <c r="H886">
        <v>1</v>
      </c>
      <c r="I886">
        <v>1</v>
      </c>
      <c r="J886">
        <v>1</v>
      </c>
      <c r="K886">
        <v>0</v>
      </c>
      <c r="L886">
        <v>0</v>
      </c>
      <c r="M886">
        <v>0</v>
      </c>
      <c r="N886">
        <v>0</v>
      </c>
      <c r="O886">
        <v>0</v>
      </c>
      <c r="Q886">
        <v>48.8</v>
      </c>
    </row>
    <row r="887" spans="1:17">
      <c r="A887" t="s">
        <v>933</v>
      </c>
      <c r="B887" s="8">
        <v>45750</v>
      </c>
      <c r="C887" t="s">
        <v>2</v>
      </c>
      <c r="D887" t="s">
        <v>39</v>
      </c>
      <c r="E887" t="s">
        <v>35</v>
      </c>
      <c r="F887" t="s">
        <v>55</v>
      </c>
      <c r="G887" t="s">
        <v>37</v>
      </c>
      <c r="H887">
        <v>0</v>
      </c>
      <c r="I887">
        <v>0</v>
      </c>
      <c r="J887">
        <v>0</v>
      </c>
      <c r="K887">
        <v>0</v>
      </c>
      <c r="L887">
        <v>0</v>
      </c>
      <c r="M887">
        <v>0</v>
      </c>
      <c r="N887">
        <v>0</v>
      </c>
      <c r="O887">
        <v>0</v>
      </c>
      <c r="Q887">
        <v>52.9</v>
      </c>
    </row>
    <row r="888" spans="1:17">
      <c r="A888" t="s">
        <v>934</v>
      </c>
      <c r="B888" s="8">
        <v>45807</v>
      </c>
      <c r="C888" t="s">
        <v>2</v>
      </c>
      <c r="D888" t="s">
        <v>48</v>
      </c>
      <c r="E888" t="s">
        <v>40</v>
      </c>
      <c r="F888" t="s">
        <v>36</v>
      </c>
      <c r="G888" t="s">
        <v>42</v>
      </c>
      <c r="H888">
        <v>1</v>
      </c>
      <c r="I888">
        <v>0</v>
      </c>
      <c r="J888">
        <v>0</v>
      </c>
      <c r="K888">
        <v>0</v>
      </c>
      <c r="L888">
        <v>0</v>
      </c>
      <c r="M888">
        <v>0</v>
      </c>
      <c r="N888">
        <v>0</v>
      </c>
      <c r="O888">
        <v>0</v>
      </c>
      <c r="Q888">
        <v>42.4</v>
      </c>
    </row>
    <row r="889" spans="1:17">
      <c r="A889" t="s">
        <v>935</v>
      </c>
      <c r="B889" s="8">
        <v>45753</v>
      </c>
      <c r="C889" t="s">
        <v>2</v>
      </c>
      <c r="D889" t="s">
        <v>44</v>
      </c>
      <c r="E889" t="s">
        <v>35</v>
      </c>
      <c r="F889" t="s">
        <v>36</v>
      </c>
      <c r="G889" t="s">
        <v>42</v>
      </c>
      <c r="H889">
        <v>1</v>
      </c>
      <c r="I889">
        <v>0</v>
      </c>
      <c r="J889">
        <v>0</v>
      </c>
      <c r="K889">
        <v>0</v>
      </c>
      <c r="L889">
        <v>0</v>
      </c>
      <c r="M889">
        <v>0</v>
      </c>
      <c r="N889">
        <v>0</v>
      </c>
      <c r="O889">
        <v>0</v>
      </c>
      <c r="Q889">
        <v>58.7</v>
      </c>
    </row>
    <row r="890" spans="1:17">
      <c r="A890" t="s">
        <v>936</v>
      </c>
      <c r="B890" s="8">
        <v>45730</v>
      </c>
      <c r="C890" t="s">
        <v>2</v>
      </c>
      <c r="D890" t="s">
        <v>34</v>
      </c>
      <c r="E890" t="s">
        <v>40</v>
      </c>
      <c r="F890" t="s">
        <v>55</v>
      </c>
      <c r="G890" t="s">
        <v>42</v>
      </c>
      <c r="H890">
        <v>1</v>
      </c>
      <c r="I890">
        <v>1</v>
      </c>
      <c r="J890">
        <v>1</v>
      </c>
      <c r="K890">
        <v>1</v>
      </c>
      <c r="L890">
        <v>2064.5500000000002</v>
      </c>
      <c r="M890">
        <v>0</v>
      </c>
      <c r="N890">
        <v>0</v>
      </c>
      <c r="O890">
        <v>0</v>
      </c>
      <c r="P890">
        <v>1</v>
      </c>
      <c r="Q890">
        <v>67.8</v>
      </c>
    </row>
    <row r="891" spans="1:17">
      <c r="A891" t="s">
        <v>937</v>
      </c>
      <c r="B891" s="8">
        <v>45712</v>
      </c>
      <c r="C891" t="s">
        <v>2</v>
      </c>
      <c r="D891" t="s">
        <v>48</v>
      </c>
      <c r="E891" t="s">
        <v>35</v>
      </c>
      <c r="F891" t="s">
        <v>45</v>
      </c>
      <c r="G891" t="s">
        <v>37</v>
      </c>
      <c r="H891">
        <v>1</v>
      </c>
      <c r="I891">
        <v>0</v>
      </c>
      <c r="J891">
        <v>0</v>
      </c>
      <c r="K891">
        <v>0</v>
      </c>
      <c r="L891">
        <v>0</v>
      </c>
      <c r="M891">
        <v>0</v>
      </c>
      <c r="N891">
        <v>0</v>
      </c>
      <c r="O891">
        <v>0</v>
      </c>
      <c r="Q891">
        <v>62.6</v>
      </c>
    </row>
    <row r="892" spans="1:17">
      <c r="A892" t="s">
        <v>938</v>
      </c>
      <c r="B892" s="8">
        <v>45720</v>
      </c>
      <c r="C892" t="s">
        <v>2</v>
      </c>
      <c r="D892" t="s">
        <v>39</v>
      </c>
      <c r="E892" t="s">
        <v>40</v>
      </c>
      <c r="F892" t="s">
        <v>36</v>
      </c>
      <c r="G892" t="s">
        <v>37</v>
      </c>
      <c r="H892">
        <v>1</v>
      </c>
      <c r="I892">
        <v>0</v>
      </c>
      <c r="J892">
        <v>0</v>
      </c>
      <c r="K892">
        <v>0</v>
      </c>
      <c r="L892">
        <v>0</v>
      </c>
      <c r="M892">
        <v>0</v>
      </c>
      <c r="N892">
        <v>0</v>
      </c>
      <c r="O892">
        <v>0</v>
      </c>
      <c r="Q892">
        <v>82.4</v>
      </c>
    </row>
    <row r="893" spans="1:17">
      <c r="A893" t="s">
        <v>939</v>
      </c>
      <c r="B893" s="8">
        <v>45749</v>
      </c>
      <c r="C893" t="s">
        <v>2</v>
      </c>
      <c r="D893" t="s">
        <v>34</v>
      </c>
      <c r="E893" t="s">
        <v>40</v>
      </c>
      <c r="F893" t="s">
        <v>41</v>
      </c>
      <c r="G893" t="s">
        <v>42</v>
      </c>
      <c r="H893">
        <v>1</v>
      </c>
      <c r="I893">
        <v>1</v>
      </c>
      <c r="J893">
        <v>1</v>
      </c>
      <c r="K893">
        <v>0</v>
      </c>
      <c r="L893">
        <v>0</v>
      </c>
      <c r="M893">
        <v>0</v>
      </c>
      <c r="N893">
        <v>0</v>
      </c>
      <c r="O893">
        <v>0</v>
      </c>
      <c r="Q893">
        <v>50.4</v>
      </c>
    </row>
    <row r="894" spans="1:17">
      <c r="A894" t="s">
        <v>940</v>
      </c>
      <c r="B894" s="8">
        <v>45788</v>
      </c>
      <c r="C894" t="s">
        <v>2</v>
      </c>
      <c r="D894" t="s">
        <v>34</v>
      </c>
      <c r="E894" t="s">
        <v>40</v>
      </c>
      <c r="F894" t="s">
        <v>36</v>
      </c>
      <c r="G894" t="s">
        <v>46</v>
      </c>
      <c r="H894">
        <v>0</v>
      </c>
      <c r="I894">
        <v>0</v>
      </c>
      <c r="J894">
        <v>0</v>
      </c>
      <c r="K894">
        <v>0</v>
      </c>
      <c r="L894">
        <v>0</v>
      </c>
      <c r="M894">
        <v>0</v>
      </c>
      <c r="N894">
        <v>0</v>
      </c>
      <c r="O894">
        <v>0</v>
      </c>
      <c r="Q894">
        <v>68.400000000000006</v>
      </c>
    </row>
    <row r="895" spans="1:17">
      <c r="A895" t="s">
        <v>941</v>
      </c>
      <c r="B895" s="8">
        <v>45787</v>
      </c>
      <c r="C895" t="s">
        <v>2</v>
      </c>
      <c r="D895" t="s">
        <v>39</v>
      </c>
      <c r="E895" t="s">
        <v>50</v>
      </c>
      <c r="F895" t="s">
        <v>45</v>
      </c>
      <c r="G895" t="s">
        <v>37</v>
      </c>
      <c r="H895">
        <v>1</v>
      </c>
      <c r="I895">
        <v>1</v>
      </c>
      <c r="J895">
        <v>1</v>
      </c>
      <c r="K895">
        <v>0</v>
      </c>
      <c r="L895">
        <v>0</v>
      </c>
      <c r="M895">
        <v>0</v>
      </c>
      <c r="N895">
        <v>0</v>
      </c>
      <c r="O895">
        <v>0</v>
      </c>
      <c r="Q895">
        <v>58.8</v>
      </c>
    </row>
    <row r="896" spans="1:17">
      <c r="A896" t="s">
        <v>942</v>
      </c>
      <c r="B896" s="8">
        <v>45783</v>
      </c>
      <c r="C896" t="s">
        <v>2</v>
      </c>
      <c r="D896" t="s">
        <v>39</v>
      </c>
      <c r="E896" t="s">
        <v>40</v>
      </c>
      <c r="F896" t="s">
        <v>55</v>
      </c>
      <c r="G896" t="s">
        <v>42</v>
      </c>
      <c r="H896">
        <v>1</v>
      </c>
      <c r="I896">
        <v>1</v>
      </c>
      <c r="J896">
        <v>0</v>
      </c>
      <c r="K896">
        <v>0</v>
      </c>
      <c r="L896">
        <v>0</v>
      </c>
      <c r="M896">
        <v>2</v>
      </c>
      <c r="N896">
        <v>1</v>
      </c>
      <c r="O896">
        <v>0</v>
      </c>
      <c r="Q896">
        <v>28.3</v>
      </c>
    </row>
    <row r="897" spans="1:17">
      <c r="A897" t="s">
        <v>943</v>
      </c>
      <c r="B897" s="8">
        <v>45699</v>
      </c>
      <c r="C897" t="s">
        <v>2</v>
      </c>
      <c r="D897" t="s">
        <v>39</v>
      </c>
      <c r="E897" t="s">
        <v>35</v>
      </c>
      <c r="F897" t="s">
        <v>45</v>
      </c>
      <c r="G897" t="s">
        <v>42</v>
      </c>
      <c r="H897">
        <v>1</v>
      </c>
      <c r="I897">
        <v>1</v>
      </c>
      <c r="J897">
        <v>0</v>
      </c>
      <c r="K897">
        <v>0</v>
      </c>
      <c r="L897">
        <v>0</v>
      </c>
      <c r="M897">
        <v>0</v>
      </c>
      <c r="N897">
        <v>0</v>
      </c>
      <c r="O897">
        <v>0</v>
      </c>
      <c r="Q897">
        <v>44.1</v>
      </c>
    </row>
    <row r="898" spans="1:17">
      <c r="A898" t="s">
        <v>944</v>
      </c>
      <c r="B898" s="8">
        <v>45786</v>
      </c>
      <c r="C898" t="s">
        <v>2</v>
      </c>
      <c r="D898" t="s">
        <v>48</v>
      </c>
      <c r="E898" t="s">
        <v>40</v>
      </c>
      <c r="F898" t="s">
        <v>45</v>
      </c>
      <c r="G898" t="s">
        <v>46</v>
      </c>
      <c r="H898">
        <v>1</v>
      </c>
      <c r="I898">
        <v>1</v>
      </c>
      <c r="J898">
        <v>0</v>
      </c>
      <c r="K898">
        <v>0</v>
      </c>
      <c r="L898">
        <v>0</v>
      </c>
      <c r="M898">
        <v>0</v>
      </c>
      <c r="N898">
        <v>0</v>
      </c>
      <c r="O898">
        <v>0</v>
      </c>
      <c r="Q898">
        <v>66.7</v>
      </c>
    </row>
    <row r="899" spans="1:17">
      <c r="A899" t="s">
        <v>945</v>
      </c>
      <c r="B899" s="8">
        <v>45690</v>
      </c>
      <c r="C899" t="s">
        <v>2</v>
      </c>
      <c r="D899" t="s">
        <v>48</v>
      </c>
      <c r="E899" t="s">
        <v>40</v>
      </c>
      <c r="G899" t="s">
        <v>42</v>
      </c>
      <c r="H899">
        <v>1</v>
      </c>
      <c r="I899">
        <v>0</v>
      </c>
      <c r="J899">
        <v>0</v>
      </c>
      <c r="K899">
        <v>0</v>
      </c>
      <c r="L899">
        <v>0</v>
      </c>
      <c r="M899">
        <v>0</v>
      </c>
      <c r="N899">
        <v>0</v>
      </c>
      <c r="O899">
        <v>0</v>
      </c>
      <c r="Q899">
        <v>100</v>
      </c>
    </row>
    <row r="900" spans="1:17">
      <c r="A900" t="s">
        <v>946</v>
      </c>
      <c r="B900" s="8">
        <v>45750</v>
      </c>
      <c r="C900" t="s">
        <v>2</v>
      </c>
      <c r="D900" t="s">
        <v>48</v>
      </c>
      <c r="E900" t="s">
        <v>40</v>
      </c>
      <c r="F900" t="s">
        <v>57</v>
      </c>
      <c r="G900" t="s">
        <v>42</v>
      </c>
      <c r="H900">
        <v>1</v>
      </c>
      <c r="I900">
        <v>1</v>
      </c>
      <c r="J900">
        <v>0</v>
      </c>
      <c r="K900">
        <v>0</v>
      </c>
      <c r="L900">
        <v>0</v>
      </c>
      <c r="M900">
        <v>0</v>
      </c>
      <c r="N900">
        <v>0</v>
      </c>
      <c r="O900">
        <v>0</v>
      </c>
      <c r="Q900">
        <v>87.5</v>
      </c>
    </row>
    <row r="901" spans="1:17">
      <c r="A901" t="s">
        <v>947</v>
      </c>
      <c r="B901" s="8">
        <v>45703</v>
      </c>
      <c r="C901" t="s">
        <v>2</v>
      </c>
      <c r="D901" t="s">
        <v>34</v>
      </c>
      <c r="E901" t="s">
        <v>35</v>
      </c>
      <c r="F901" t="s">
        <v>41</v>
      </c>
      <c r="G901" t="s">
        <v>37</v>
      </c>
      <c r="H901">
        <v>1</v>
      </c>
      <c r="I901">
        <v>0</v>
      </c>
      <c r="J901">
        <v>0</v>
      </c>
      <c r="K901">
        <v>0</v>
      </c>
      <c r="L901">
        <v>0</v>
      </c>
      <c r="M901">
        <v>2</v>
      </c>
      <c r="N901">
        <v>1</v>
      </c>
      <c r="O901">
        <v>0</v>
      </c>
      <c r="Q901">
        <v>65.400000000000006</v>
      </c>
    </row>
    <row r="902" spans="1:17">
      <c r="A902" t="s">
        <v>948</v>
      </c>
      <c r="B902" s="8">
        <v>45765</v>
      </c>
      <c r="C902" t="s">
        <v>2</v>
      </c>
      <c r="D902" t="s">
        <v>48</v>
      </c>
      <c r="E902" t="s">
        <v>35</v>
      </c>
      <c r="F902" t="s">
        <v>41</v>
      </c>
      <c r="G902" t="s">
        <v>42</v>
      </c>
      <c r="H902">
        <v>1</v>
      </c>
      <c r="I902">
        <v>0</v>
      </c>
      <c r="J902">
        <v>0</v>
      </c>
      <c r="K902">
        <v>0</v>
      </c>
      <c r="L902">
        <v>0</v>
      </c>
      <c r="M902">
        <v>0</v>
      </c>
      <c r="N902">
        <v>0</v>
      </c>
      <c r="O902">
        <v>0</v>
      </c>
      <c r="Q902">
        <v>22.9</v>
      </c>
    </row>
    <row r="903" spans="1:17">
      <c r="A903" t="s">
        <v>949</v>
      </c>
      <c r="B903" s="8">
        <v>45730</v>
      </c>
      <c r="C903" t="s">
        <v>2</v>
      </c>
      <c r="D903" t="s">
        <v>39</v>
      </c>
      <c r="E903" t="s">
        <v>35</v>
      </c>
      <c r="F903" t="s">
        <v>41</v>
      </c>
      <c r="G903" t="s">
        <v>46</v>
      </c>
      <c r="H903">
        <v>0</v>
      </c>
      <c r="I903">
        <v>0</v>
      </c>
      <c r="J903">
        <v>0</v>
      </c>
      <c r="K903">
        <v>0</v>
      </c>
      <c r="L903">
        <v>0</v>
      </c>
      <c r="M903">
        <v>0</v>
      </c>
      <c r="N903">
        <v>0</v>
      </c>
      <c r="O903">
        <v>0</v>
      </c>
      <c r="Q903">
        <v>64.599999999999994</v>
      </c>
    </row>
    <row r="904" spans="1:17">
      <c r="A904" t="s">
        <v>950</v>
      </c>
      <c r="B904" s="8">
        <v>45745</v>
      </c>
      <c r="C904" t="s">
        <v>2</v>
      </c>
      <c r="D904" t="s">
        <v>48</v>
      </c>
      <c r="E904" t="s">
        <v>40</v>
      </c>
      <c r="F904" t="s">
        <v>55</v>
      </c>
      <c r="G904" t="s">
        <v>42</v>
      </c>
      <c r="H904">
        <v>1</v>
      </c>
      <c r="I904">
        <v>0</v>
      </c>
      <c r="J904">
        <v>0</v>
      </c>
      <c r="K904">
        <v>0</v>
      </c>
      <c r="L904">
        <v>0</v>
      </c>
      <c r="M904">
        <v>2</v>
      </c>
      <c r="N904">
        <v>1</v>
      </c>
      <c r="O904">
        <v>0</v>
      </c>
      <c r="Q904">
        <v>54.4</v>
      </c>
    </row>
    <row r="905" spans="1:17">
      <c r="A905" t="s">
        <v>951</v>
      </c>
      <c r="B905" s="8">
        <v>45701</v>
      </c>
      <c r="C905" t="s">
        <v>2</v>
      </c>
      <c r="D905" t="s">
        <v>34</v>
      </c>
      <c r="E905" t="s">
        <v>35</v>
      </c>
      <c r="F905" t="s">
        <v>41</v>
      </c>
      <c r="G905" t="s">
        <v>42</v>
      </c>
      <c r="H905">
        <v>1</v>
      </c>
      <c r="I905">
        <v>1</v>
      </c>
      <c r="J905">
        <v>1</v>
      </c>
      <c r="K905">
        <v>0</v>
      </c>
      <c r="L905">
        <v>0</v>
      </c>
      <c r="M905">
        <v>0</v>
      </c>
      <c r="N905">
        <v>0</v>
      </c>
      <c r="O905">
        <v>0</v>
      </c>
      <c r="Q905">
        <v>56.8</v>
      </c>
    </row>
    <row r="906" spans="1:17">
      <c r="A906" t="s">
        <v>952</v>
      </c>
      <c r="B906" s="8">
        <v>45680</v>
      </c>
      <c r="C906" t="s">
        <v>2</v>
      </c>
      <c r="D906" t="s">
        <v>48</v>
      </c>
      <c r="E906" t="s">
        <v>40</v>
      </c>
      <c r="F906" t="s">
        <v>45</v>
      </c>
      <c r="G906" t="s">
        <v>42</v>
      </c>
      <c r="H906">
        <v>1</v>
      </c>
      <c r="I906">
        <v>1</v>
      </c>
      <c r="J906">
        <v>1</v>
      </c>
      <c r="K906">
        <v>1</v>
      </c>
      <c r="L906">
        <v>341.38</v>
      </c>
      <c r="M906">
        <v>0</v>
      </c>
      <c r="N906">
        <v>0</v>
      </c>
      <c r="O906">
        <v>0</v>
      </c>
      <c r="P906">
        <v>2</v>
      </c>
      <c r="Q906">
        <v>63.6</v>
      </c>
    </row>
    <row r="907" spans="1:17">
      <c r="A907" t="s">
        <v>953</v>
      </c>
      <c r="B907" s="8">
        <v>45712</v>
      </c>
      <c r="C907" t="s">
        <v>2</v>
      </c>
      <c r="D907" t="s">
        <v>44</v>
      </c>
      <c r="E907" t="s">
        <v>40</v>
      </c>
      <c r="F907" t="s">
        <v>57</v>
      </c>
      <c r="G907" t="s">
        <v>42</v>
      </c>
      <c r="H907">
        <v>1</v>
      </c>
      <c r="I907">
        <v>0</v>
      </c>
      <c r="J907">
        <v>0</v>
      </c>
      <c r="K907">
        <v>0</v>
      </c>
      <c r="L907">
        <v>0</v>
      </c>
      <c r="M907">
        <v>0</v>
      </c>
      <c r="N907">
        <v>0</v>
      </c>
      <c r="O907">
        <v>0</v>
      </c>
      <c r="Q907">
        <v>58.2</v>
      </c>
    </row>
    <row r="908" spans="1:17">
      <c r="A908" t="s">
        <v>954</v>
      </c>
      <c r="B908" s="8">
        <v>45716</v>
      </c>
      <c r="C908" t="s">
        <v>2</v>
      </c>
      <c r="D908" t="s">
        <v>39</v>
      </c>
      <c r="E908" t="s">
        <v>40</v>
      </c>
      <c r="F908" t="s">
        <v>45</v>
      </c>
      <c r="G908" t="s">
        <v>42</v>
      </c>
      <c r="H908">
        <v>1</v>
      </c>
      <c r="I908">
        <v>1</v>
      </c>
      <c r="J908">
        <v>0</v>
      </c>
      <c r="K908">
        <v>0</v>
      </c>
      <c r="L908">
        <v>0</v>
      </c>
      <c r="M908">
        <v>0</v>
      </c>
      <c r="N908">
        <v>0</v>
      </c>
      <c r="O908">
        <v>0</v>
      </c>
      <c r="Q908">
        <v>54.6</v>
      </c>
    </row>
    <row r="909" spans="1:17">
      <c r="A909" t="s">
        <v>955</v>
      </c>
      <c r="B909" s="8">
        <v>45664</v>
      </c>
      <c r="C909" t="s">
        <v>2</v>
      </c>
      <c r="D909" t="s">
        <v>39</v>
      </c>
      <c r="E909" t="s">
        <v>50</v>
      </c>
      <c r="F909" t="s">
        <v>41</v>
      </c>
      <c r="G909" t="s">
        <v>37</v>
      </c>
      <c r="H909">
        <v>1</v>
      </c>
      <c r="I909">
        <v>0</v>
      </c>
      <c r="J909">
        <v>0</v>
      </c>
      <c r="K909">
        <v>0</v>
      </c>
      <c r="L909">
        <v>0</v>
      </c>
      <c r="M909">
        <v>0</v>
      </c>
      <c r="N909">
        <v>0</v>
      </c>
      <c r="O909">
        <v>0</v>
      </c>
      <c r="Q909">
        <v>81.900000000000006</v>
      </c>
    </row>
    <row r="910" spans="1:17">
      <c r="A910" t="s">
        <v>956</v>
      </c>
      <c r="B910" s="8">
        <v>45737</v>
      </c>
      <c r="C910" t="s">
        <v>2</v>
      </c>
      <c r="D910" t="s">
        <v>39</v>
      </c>
      <c r="E910" t="s">
        <v>35</v>
      </c>
      <c r="F910" t="s">
        <v>36</v>
      </c>
      <c r="G910" t="s">
        <v>42</v>
      </c>
      <c r="H910">
        <v>1</v>
      </c>
      <c r="I910">
        <v>0</v>
      </c>
      <c r="J910">
        <v>0</v>
      </c>
      <c r="K910">
        <v>0</v>
      </c>
      <c r="L910">
        <v>0</v>
      </c>
      <c r="M910">
        <v>3</v>
      </c>
      <c r="N910">
        <v>1</v>
      </c>
      <c r="O910">
        <v>0</v>
      </c>
      <c r="Q910">
        <v>53.3</v>
      </c>
    </row>
    <row r="911" spans="1:17">
      <c r="A911" t="s">
        <v>957</v>
      </c>
      <c r="B911" s="8">
        <v>45706</v>
      </c>
      <c r="C911" t="s">
        <v>2</v>
      </c>
      <c r="D911" t="s">
        <v>34</v>
      </c>
      <c r="E911" t="s">
        <v>35</v>
      </c>
      <c r="F911" t="s">
        <v>41</v>
      </c>
      <c r="G911" t="s">
        <v>37</v>
      </c>
      <c r="H911">
        <v>0</v>
      </c>
      <c r="I911">
        <v>0</v>
      </c>
      <c r="J911">
        <v>0</v>
      </c>
      <c r="K911">
        <v>0</v>
      </c>
      <c r="L911">
        <v>0</v>
      </c>
      <c r="M911">
        <v>0</v>
      </c>
      <c r="N911">
        <v>0</v>
      </c>
      <c r="O911">
        <v>0</v>
      </c>
      <c r="Q911">
        <v>54.2</v>
      </c>
    </row>
    <row r="912" spans="1:17">
      <c r="A912" t="s">
        <v>958</v>
      </c>
      <c r="B912" s="8">
        <v>45662</v>
      </c>
      <c r="C912" t="s">
        <v>2</v>
      </c>
      <c r="D912" t="s">
        <v>34</v>
      </c>
      <c r="E912" t="s">
        <v>40</v>
      </c>
      <c r="F912" t="s">
        <v>45</v>
      </c>
      <c r="G912" t="s">
        <v>42</v>
      </c>
      <c r="H912">
        <v>1</v>
      </c>
      <c r="I912">
        <v>1</v>
      </c>
      <c r="J912">
        <v>0</v>
      </c>
      <c r="K912">
        <v>0</v>
      </c>
      <c r="L912">
        <v>0</v>
      </c>
      <c r="M912">
        <v>0</v>
      </c>
      <c r="N912">
        <v>0</v>
      </c>
      <c r="O912">
        <v>0</v>
      </c>
      <c r="Q912">
        <v>65.599999999999994</v>
      </c>
    </row>
    <row r="913" spans="1:17">
      <c r="A913" t="s">
        <v>959</v>
      </c>
      <c r="B913" s="8">
        <v>45727</v>
      </c>
      <c r="C913" t="s">
        <v>2</v>
      </c>
      <c r="D913" t="s">
        <v>44</v>
      </c>
      <c r="E913" t="s">
        <v>35</v>
      </c>
      <c r="F913" t="s">
        <v>41</v>
      </c>
      <c r="G913" t="s">
        <v>37</v>
      </c>
      <c r="H913">
        <v>1</v>
      </c>
      <c r="I913">
        <v>0</v>
      </c>
      <c r="J913">
        <v>0</v>
      </c>
      <c r="K913">
        <v>0</v>
      </c>
      <c r="L913">
        <v>0</v>
      </c>
      <c r="M913">
        <v>1</v>
      </c>
      <c r="N913">
        <v>1</v>
      </c>
      <c r="O913">
        <v>0</v>
      </c>
      <c r="Q913">
        <v>56.5</v>
      </c>
    </row>
    <row r="914" spans="1:17">
      <c r="A914" t="s">
        <v>960</v>
      </c>
      <c r="B914" s="8">
        <v>45666</v>
      </c>
      <c r="C914" t="s">
        <v>2</v>
      </c>
      <c r="D914" t="s">
        <v>34</v>
      </c>
      <c r="E914" t="s">
        <v>35</v>
      </c>
      <c r="F914" t="s">
        <v>41</v>
      </c>
      <c r="G914" t="s">
        <v>37</v>
      </c>
      <c r="H914">
        <v>1</v>
      </c>
      <c r="I914">
        <v>0</v>
      </c>
      <c r="J914">
        <v>0</v>
      </c>
      <c r="K914">
        <v>0</v>
      </c>
      <c r="L914">
        <v>0</v>
      </c>
      <c r="M914">
        <v>0</v>
      </c>
      <c r="N914">
        <v>0</v>
      </c>
      <c r="O914">
        <v>0</v>
      </c>
      <c r="Q914">
        <v>59.7</v>
      </c>
    </row>
    <row r="915" spans="1:17">
      <c r="A915" t="s">
        <v>961</v>
      </c>
      <c r="B915" s="8">
        <v>45665</v>
      </c>
      <c r="C915" t="s">
        <v>2</v>
      </c>
      <c r="D915" t="s">
        <v>48</v>
      </c>
      <c r="E915" t="s">
        <v>40</v>
      </c>
      <c r="F915" t="s">
        <v>41</v>
      </c>
      <c r="G915" t="s">
        <v>42</v>
      </c>
      <c r="H915">
        <v>1</v>
      </c>
      <c r="I915">
        <v>1</v>
      </c>
      <c r="J915">
        <v>1</v>
      </c>
      <c r="K915">
        <v>0</v>
      </c>
      <c r="L915">
        <v>0</v>
      </c>
      <c r="M915">
        <v>0</v>
      </c>
      <c r="N915">
        <v>0</v>
      </c>
      <c r="O915">
        <v>0</v>
      </c>
      <c r="Q915">
        <v>72.5</v>
      </c>
    </row>
    <row r="916" spans="1:17">
      <c r="A916" t="s">
        <v>962</v>
      </c>
      <c r="B916" s="8">
        <v>45778</v>
      </c>
      <c r="C916" t="s">
        <v>2</v>
      </c>
      <c r="D916" t="s">
        <v>44</v>
      </c>
      <c r="E916" t="s">
        <v>35</v>
      </c>
      <c r="F916" t="s">
        <v>45</v>
      </c>
      <c r="G916" t="s">
        <v>42</v>
      </c>
      <c r="H916">
        <v>1</v>
      </c>
      <c r="I916">
        <v>0</v>
      </c>
      <c r="J916">
        <v>0</v>
      </c>
      <c r="K916">
        <v>0</v>
      </c>
      <c r="L916">
        <v>0</v>
      </c>
      <c r="M916">
        <v>0</v>
      </c>
      <c r="N916">
        <v>0</v>
      </c>
      <c r="O916">
        <v>0</v>
      </c>
      <c r="Q916">
        <v>64.3</v>
      </c>
    </row>
    <row r="917" spans="1:17">
      <c r="A917" t="s">
        <v>963</v>
      </c>
      <c r="B917" s="8">
        <v>45719</v>
      </c>
      <c r="C917" t="s">
        <v>2</v>
      </c>
      <c r="D917" t="s">
        <v>48</v>
      </c>
      <c r="E917" t="s">
        <v>40</v>
      </c>
      <c r="F917" t="s">
        <v>57</v>
      </c>
      <c r="G917" t="s">
        <v>42</v>
      </c>
      <c r="H917">
        <v>1</v>
      </c>
      <c r="I917">
        <v>0</v>
      </c>
      <c r="J917">
        <v>0</v>
      </c>
      <c r="K917">
        <v>0</v>
      </c>
      <c r="L917">
        <v>0</v>
      </c>
      <c r="M917">
        <v>0</v>
      </c>
      <c r="N917">
        <v>0</v>
      </c>
      <c r="O917">
        <v>0</v>
      </c>
      <c r="Q917">
        <v>64.5</v>
      </c>
    </row>
    <row r="918" spans="1:17">
      <c r="A918" t="s">
        <v>964</v>
      </c>
      <c r="B918" s="8">
        <v>45711</v>
      </c>
      <c r="C918" t="s">
        <v>2</v>
      </c>
      <c r="D918" t="s">
        <v>39</v>
      </c>
      <c r="E918" t="s">
        <v>35</v>
      </c>
      <c r="F918" t="s">
        <v>57</v>
      </c>
      <c r="G918" t="s">
        <v>37</v>
      </c>
      <c r="H918">
        <v>1</v>
      </c>
      <c r="I918">
        <v>1</v>
      </c>
      <c r="J918">
        <v>1</v>
      </c>
      <c r="K918">
        <v>0</v>
      </c>
      <c r="L918">
        <v>0</v>
      </c>
      <c r="M918">
        <v>0</v>
      </c>
      <c r="N918">
        <v>0</v>
      </c>
      <c r="O918">
        <v>0</v>
      </c>
      <c r="Q918">
        <v>70.599999999999994</v>
      </c>
    </row>
    <row r="919" spans="1:17">
      <c r="A919" t="s">
        <v>965</v>
      </c>
      <c r="B919" s="8">
        <v>45705</v>
      </c>
      <c r="C919" t="s">
        <v>2</v>
      </c>
      <c r="D919" t="s">
        <v>48</v>
      </c>
      <c r="E919" t="s">
        <v>35</v>
      </c>
      <c r="F919" t="s">
        <v>41</v>
      </c>
      <c r="G919" t="s">
        <v>37</v>
      </c>
      <c r="H919">
        <v>0</v>
      </c>
      <c r="I919">
        <v>0</v>
      </c>
      <c r="J919">
        <v>0</v>
      </c>
      <c r="K919">
        <v>0</v>
      </c>
      <c r="L919">
        <v>0</v>
      </c>
      <c r="M919">
        <v>0</v>
      </c>
      <c r="N919">
        <v>0</v>
      </c>
      <c r="O919">
        <v>0</v>
      </c>
      <c r="Q919">
        <v>58.4</v>
      </c>
    </row>
    <row r="920" spans="1:17">
      <c r="A920" t="s">
        <v>966</v>
      </c>
      <c r="B920" s="8">
        <v>45798</v>
      </c>
      <c r="C920" t="s">
        <v>2</v>
      </c>
      <c r="D920" t="s">
        <v>44</v>
      </c>
      <c r="E920" t="s">
        <v>40</v>
      </c>
      <c r="F920" t="s">
        <v>41</v>
      </c>
      <c r="G920" t="s">
        <v>37</v>
      </c>
      <c r="H920">
        <v>1</v>
      </c>
      <c r="I920">
        <v>0</v>
      </c>
      <c r="J920">
        <v>0</v>
      </c>
      <c r="K920">
        <v>0</v>
      </c>
      <c r="L920">
        <v>0</v>
      </c>
      <c r="M920">
        <v>0</v>
      </c>
      <c r="N920">
        <v>0</v>
      </c>
      <c r="O920">
        <v>0</v>
      </c>
      <c r="Q920">
        <v>56.6</v>
      </c>
    </row>
    <row r="921" spans="1:17">
      <c r="A921" t="s">
        <v>967</v>
      </c>
      <c r="B921" s="8">
        <v>45687</v>
      </c>
      <c r="C921" t="s">
        <v>2</v>
      </c>
      <c r="D921" t="s">
        <v>48</v>
      </c>
      <c r="E921" t="s">
        <v>40</v>
      </c>
      <c r="F921" t="s">
        <v>41</v>
      </c>
      <c r="G921" t="s">
        <v>42</v>
      </c>
      <c r="H921">
        <v>1</v>
      </c>
      <c r="I921">
        <v>0</v>
      </c>
      <c r="J921">
        <v>0</v>
      </c>
      <c r="K921">
        <v>0</v>
      </c>
      <c r="L921">
        <v>0</v>
      </c>
      <c r="M921">
        <v>0</v>
      </c>
      <c r="N921">
        <v>0</v>
      </c>
      <c r="O921">
        <v>0</v>
      </c>
      <c r="Q921">
        <v>61.8</v>
      </c>
    </row>
    <row r="922" spans="1:17">
      <c r="A922" t="s">
        <v>968</v>
      </c>
      <c r="B922" s="8">
        <v>45736</v>
      </c>
      <c r="C922" t="s">
        <v>2</v>
      </c>
      <c r="D922" t="s">
        <v>39</v>
      </c>
      <c r="E922" t="s">
        <v>40</v>
      </c>
      <c r="F922" t="s">
        <v>36</v>
      </c>
      <c r="G922" t="s">
        <v>42</v>
      </c>
      <c r="H922">
        <v>1</v>
      </c>
      <c r="I922">
        <v>1</v>
      </c>
      <c r="J922">
        <v>1</v>
      </c>
      <c r="K922">
        <v>1</v>
      </c>
      <c r="L922">
        <v>513.52</v>
      </c>
      <c r="M922">
        <v>0</v>
      </c>
      <c r="N922">
        <v>0</v>
      </c>
      <c r="O922">
        <v>0</v>
      </c>
      <c r="P922">
        <v>8</v>
      </c>
      <c r="Q922">
        <v>43.4</v>
      </c>
    </row>
    <row r="923" spans="1:17">
      <c r="A923" t="s">
        <v>969</v>
      </c>
      <c r="B923" s="8">
        <v>45757</v>
      </c>
      <c r="C923" t="s">
        <v>2</v>
      </c>
      <c r="D923" t="s">
        <v>39</v>
      </c>
      <c r="E923" t="s">
        <v>50</v>
      </c>
      <c r="F923" t="s">
        <v>45</v>
      </c>
      <c r="G923" t="s">
        <v>42</v>
      </c>
      <c r="H923">
        <v>0</v>
      </c>
      <c r="I923">
        <v>0</v>
      </c>
      <c r="J923">
        <v>0</v>
      </c>
      <c r="K923">
        <v>0</v>
      </c>
      <c r="L923">
        <v>0</v>
      </c>
      <c r="M923">
        <v>0</v>
      </c>
      <c r="N923">
        <v>0</v>
      </c>
      <c r="O923">
        <v>0</v>
      </c>
      <c r="Q923">
        <v>43</v>
      </c>
    </row>
    <row r="924" spans="1:17">
      <c r="A924" t="s">
        <v>970</v>
      </c>
      <c r="B924" s="8">
        <v>45723</v>
      </c>
      <c r="C924" t="s">
        <v>2</v>
      </c>
      <c r="D924" t="s">
        <v>34</v>
      </c>
      <c r="E924" t="s">
        <v>35</v>
      </c>
      <c r="F924" t="s">
        <v>41</v>
      </c>
      <c r="G924" t="s">
        <v>42</v>
      </c>
      <c r="H924">
        <v>1</v>
      </c>
      <c r="I924">
        <v>1</v>
      </c>
      <c r="J924">
        <v>1</v>
      </c>
      <c r="K924">
        <v>0</v>
      </c>
      <c r="L924">
        <v>0</v>
      </c>
      <c r="M924">
        <v>0</v>
      </c>
      <c r="N924">
        <v>0</v>
      </c>
      <c r="O924">
        <v>0</v>
      </c>
      <c r="Q924">
        <v>51.1</v>
      </c>
    </row>
    <row r="925" spans="1:17">
      <c r="A925" t="s">
        <v>971</v>
      </c>
      <c r="B925" s="8">
        <v>45728</v>
      </c>
      <c r="C925" t="s">
        <v>2</v>
      </c>
      <c r="D925" t="s">
        <v>39</v>
      </c>
      <c r="E925" t="s">
        <v>40</v>
      </c>
      <c r="F925" t="s">
        <v>36</v>
      </c>
      <c r="G925" t="s">
        <v>37</v>
      </c>
      <c r="H925">
        <v>1</v>
      </c>
      <c r="I925">
        <v>0</v>
      </c>
      <c r="J925">
        <v>0</v>
      </c>
      <c r="K925">
        <v>0</v>
      </c>
      <c r="L925">
        <v>0</v>
      </c>
      <c r="M925">
        <v>0</v>
      </c>
      <c r="N925">
        <v>0</v>
      </c>
      <c r="O925">
        <v>0</v>
      </c>
      <c r="Q925">
        <v>48.8</v>
      </c>
    </row>
    <row r="926" spans="1:17">
      <c r="A926" t="s">
        <v>972</v>
      </c>
      <c r="B926" s="8">
        <v>45712</v>
      </c>
      <c r="C926" t="s">
        <v>2</v>
      </c>
      <c r="D926" t="s">
        <v>44</v>
      </c>
      <c r="E926" t="s">
        <v>40</v>
      </c>
      <c r="F926" t="s">
        <v>55</v>
      </c>
      <c r="G926" t="s">
        <v>42</v>
      </c>
      <c r="H926">
        <v>0</v>
      </c>
      <c r="I926">
        <v>0</v>
      </c>
      <c r="J926">
        <v>0</v>
      </c>
      <c r="K926">
        <v>0</v>
      </c>
      <c r="L926">
        <v>0</v>
      </c>
      <c r="M926">
        <v>0</v>
      </c>
      <c r="N926">
        <v>0</v>
      </c>
      <c r="O926">
        <v>0</v>
      </c>
      <c r="Q926">
        <v>73.2</v>
      </c>
    </row>
    <row r="927" spans="1:17">
      <c r="A927" t="s">
        <v>973</v>
      </c>
      <c r="B927" s="8">
        <v>45672</v>
      </c>
      <c r="C927" t="s">
        <v>2</v>
      </c>
      <c r="D927" t="s">
        <v>44</v>
      </c>
      <c r="E927" t="s">
        <v>40</v>
      </c>
      <c r="F927" t="s">
        <v>55</v>
      </c>
      <c r="G927" t="s">
        <v>42</v>
      </c>
      <c r="H927">
        <v>1</v>
      </c>
      <c r="I927">
        <v>1</v>
      </c>
      <c r="J927">
        <v>1</v>
      </c>
      <c r="K927">
        <v>0</v>
      </c>
      <c r="L927">
        <v>0</v>
      </c>
      <c r="M927">
        <v>0</v>
      </c>
      <c r="N927">
        <v>0</v>
      </c>
      <c r="O927">
        <v>0</v>
      </c>
      <c r="Q927">
        <v>80</v>
      </c>
    </row>
    <row r="928" spans="1:17">
      <c r="A928" t="s">
        <v>974</v>
      </c>
      <c r="B928" s="8">
        <v>45664</v>
      </c>
      <c r="C928" t="s">
        <v>2</v>
      </c>
      <c r="D928" t="s">
        <v>34</v>
      </c>
      <c r="E928" t="s">
        <v>35</v>
      </c>
      <c r="F928" t="s">
        <v>45</v>
      </c>
      <c r="G928" t="s">
        <v>42</v>
      </c>
      <c r="H928">
        <v>1</v>
      </c>
      <c r="I928">
        <v>0</v>
      </c>
      <c r="J928">
        <v>0</v>
      </c>
      <c r="K928">
        <v>0</v>
      </c>
      <c r="L928">
        <v>0</v>
      </c>
      <c r="M928">
        <v>0</v>
      </c>
      <c r="N928">
        <v>0</v>
      </c>
      <c r="O928">
        <v>0</v>
      </c>
      <c r="Q928">
        <v>52.3</v>
      </c>
    </row>
    <row r="929" spans="1:17">
      <c r="A929" t="s">
        <v>975</v>
      </c>
      <c r="B929" s="8">
        <v>45718</v>
      </c>
      <c r="C929" t="s">
        <v>2</v>
      </c>
      <c r="D929" t="s">
        <v>34</v>
      </c>
      <c r="E929" t="s">
        <v>35</v>
      </c>
      <c r="F929" t="s">
        <v>41</v>
      </c>
      <c r="G929" t="s">
        <v>42</v>
      </c>
      <c r="H929">
        <v>0</v>
      </c>
      <c r="I929">
        <v>0</v>
      </c>
      <c r="J929">
        <v>0</v>
      </c>
      <c r="K929">
        <v>0</v>
      </c>
      <c r="L929">
        <v>0</v>
      </c>
      <c r="M929">
        <v>0</v>
      </c>
      <c r="N929">
        <v>0</v>
      </c>
      <c r="O929">
        <v>0</v>
      </c>
      <c r="Q929">
        <v>49.1</v>
      </c>
    </row>
    <row r="930" spans="1:17">
      <c r="A930" t="s">
        <v>976</v>
      </c>
      <c r="B930" s="8">
        <v>45662</v>
      </c>
      <c r="C930" t="s">
        <v>2</v>
      </c>
      <c r="D930" t="s">
        <v>48</v>
      </c>
      <c r="E930" t="s">
        <v>35</v>
      </c>
      <c r="F930" t="s">
        <v>55</v>
      </c>
      <c r="G930" t="s">
        <v>37</v>
      </c>
      <c r="H930">
        <v>0</v>
      </c>
      <c r="I930">
        <v>0</v>
      </c>
      <c r="J930">
        <v>0</v>
      </c>
      <c r="K930">
        <v>0</v>
      </c>
      <c r="L930">
        <v>0</v>
      </c>
      <c r="M930">
        <v>0</v>
      </c>
      <c r="N930">
        <v>0</v>
      </c>
      <c r="O930">
        <v>0</v>
      </c>
      <c r="Q930">
        <v>45.3</v>
      </c>
    </row>
    <row r="931" spans="1:17">
      <c r="A931" t="s">
        <v>977</v>
      </c>
      <c r="B931" s="8">
        <v>45719</v>
      </c>
      <c r="C931" t="s">
        <v>2</v>
      </c>
      <c r="D931" t="s">
        <v>48</v>
      </c>
      <c r="E931" t="s">
        <v>40</v>
      </c>
      <c r="F931" t="s">
        <v>41</v>
      </c>
      <c r="G931" t="s">
        <v>42</v>
      </c>
      <c r="H931">
        <v>1</v>
      </c>
      <c r="I931">
        <v>1</v>
      </c>
      <c r="J931">
        <v>0</v>
      </c>
      <c r="K931">
        <v>0</v>
      </c>
      <c r="L931">
        <v>0</v>
      </c>
      <c r="M931">
        <v>0</v>
      </c>
      <c r="N931">
        <v>0</v>
      </c>
      <c r="O931">
        <v>0</v>
      </c>
      <c r="Q931">
        <v>49.1</v>
      </c>
    </row>
    <row r="932" spans="1:17">
      <c r="A932" t="s">
        <v>978</v>
      </c>
      <c r="B932" s="8">
        <v>45747</v>
      </c>
      <c r="C932" t="s">
        <v>2</v>
      </c>
      <c r="D932" t="s">
        <v>44</v>
      </c>
      <c r="E932" t="s">
        <v>35</v>
      </c>
      <c r="F932" t="s">
        <v>55</v>
      </c>
      <c r="G932" t="s">
        <v>42</v>
      </c>
      <c r="H932">
        <v>1</v>
      </c>
      <c r="I932">
        <v>1</v>
      </c>
      <c r="J932">
        <v>1</v>
      </c>
      <c r="K932">
        <v>1</v>
      </c>
      <c r="L932">
        <v>476.44</v>
      </c>
      <c r="M932">
        <v>0</v>
      </c>
      <c r="N932">
        <v>0</v>
      </c>
      <c r="O932">
        <v>0</v>
      </c>
      <c r="P932">
        <v>3</v>
      </c>
      <c r="Q932">
        <v>88.6</v>
      </c>
    </row>
    <row r="933" spans="1:17">
      <c r="A933" t="s">
        <v>979</v>
      </c>
      <c r="B933" s="8">
        <v>45671</v>
      </c>
      <c r="C933" t="s">
        <v>2</v>
      </c>
      <c r="D933" t="s">
        <v>44</v>
      </c>
      <c r="E933" t="s">
        <v>35</v>
      </c>
      <c r="F933" t="s">
        <v>45</v>
      </c>
      <c r="G933" t="s">
        <v>46</v>
      </c>
      <c r="H933">
        <v>0</v>
      </c>
      <c r="I933">
        <v>0</v>
      </c>
      <c r="J933">
        <v>0</v>
      </c>
      <c r="K933">
        <v>0</v>
      </c>
      <c r="L933">
        <v>0</v>
      </c>
      <c r="M933">
        <v>1</v>
      </c>
      <c r="N933">
        <v>1</v>
      </c>
      <c r="O933">
        <v>0</v>
      </c>
      <c r="Q933">
        <v>54.4</v>
      </c>
    </row>
    <row r="934" spans="1:17">
      <c r="A934" t="s">
        <v>980</v>
      </c>
      <c r="B934" s="8">
        <v>45672</v>
      </c>
      <c r="C934" t="s">
        <v>2</v>
      </c>
      <c r="D934" t="s">
        <v>39</v>
      </c>
      <c r="E934" t="s">
        <v>35</v>
      </c>
      <c r="F934" t="s">
        <v>45</v>
      </c>
      <c r="G934" t="s">
        <v>46</v>
      </c>
      <c r="H934">
        <v>1</v>
      </c>
      <c r="I934">
        <v>0</v>
      </c>
      <c r="J934">
        <v>0</v>
      </c>
      <c r="K934">
        <v>0</v>
      </c>
      <c r="L934">
        <v>0</v>
      </c>
      <c r="M934">
        <v>0</v>
      </c>
      <c r="N934">
        <v>0</v>
      </c>
      <c r="O934">
        <v>0</v>
      </c>
      <c r="Q934">
        <v>72.900000000000006</v>
      </c>
    </row>
    <row r="935" spans="1:17">
      <c r="A935" t="s">
        <v>981</v>
      </c>
      <c r="B935" s="8">
        <v>45772</v>
      </c>
      <c r="C935" t="s">
        <v>2</v>
      </c>
      <c r="D935" t="s">
        <v>39</v>
      </c>
      <c r="E935" t="s">
        <v>35</v>
      </c>
      <c r="F935" t="s">
        <v>41</v>
      </c>
      <c r="G935" t="s">
        <v>42</v>
      </c>
      <c r="H935">
        <v>1</v>
      </c>
      <c r="I935">
        <v>0</v>
      </c>
      <c r="J935">
        <v>0</v>
      </c>
      <c r="K935">
        <v>0</v>
      </c>
      <c r="L935">
        <v>0</v>
      </c>
      <c r="M935">
        <v>0</v>
      </c>
      <c r="N935">
        <v>0</v>
      </c>
      <c r="O935">
        <v>0</v>
      </c>
      <c r="Q935">
        <v>53.2</v>
      </c>
    </row>
    <row r="936" spans="1:17">
      <c r="A936" t="s">
        <v>982</v>
      </c>
      <c r="B936" s="8">
        <v>45737</v>
      </c>
      <c r="C936" t="s">
        <v>2</v>
      </c>
      <c r="D936" t="s">
        <v>44</v>
      </c>
      <c r="E936" t="s">
        <v>40</v>
      </c>
      <c r="F936" t="s">
        <v>41</v>
      </c>
      <c r="G936" t="s">
        <v>37</v>
      </c>
      <c r="H936">
        <v>1</v>
      </c>
      <c r="I936">
        <v>1</v>
      </c>
      <c r="J936">
        <v>0</v>
      </c>
      <c r="K936">
        <v>0</v>
      </c>
      <c r="L936">
        <v>0</v>
      </c>
      <c r="M936">
        <v>0</v>
      </c>
      <c r="N936">
        <v>0</v>
      </c>
      <c r="O936">
        <v>0</v>
      </c>
      <c r="Q936">
        <v>48.7</v>
      </c>
    </row>
    <row r="937" spans="1:17">
      <c r="A937" t="s">
        <v>983</v>
      </c>
      <c r="B937" s="8">
        <v>45773</v>
      </c>
      <c r="C937" t="s">
        <v>2</v>
      </c>
      <c r="D937" t="s">
        <v>48</v>
      </c>
      <c r="E937" t="s">
        <v>40</v>
      </c>
      <c r="F937" t="s">
        <v>45</v>
      </c>
      <c r="G937" t="s">
        <v>37</v>
      </c>
      <c r="H937">
        <v>1</v>
      </c>
      <c r="I937">
        <v>1</v>
      </c>
      <c r="J937">
        <v>1</v>
      </c>
      <c r="K937">
        <v>0</v>
      </c>
      <c r="L937">
        <v>0</v>
      </c>
      <c r="M937">
        <v>0</v>
      </c>
      <c r="N937">
        <v>0</v>
      </c>
      <c r="O937">
        <v>0</v>
      </c>
      <c r="Q937">
        <v>59.9</v>
      </c>
    </row>
    <row r="938" spans="1:17">
      <c r="A938" t="s">
        <v>984</v>
      </c>
      <c r="B938" s="8">
        <v>45798</v>
      </c>
      <c r="C938" t="s">
        <v>2</v>
      </c>
      <c r="D938" t="s">
        <v>48</v>
      </c>
      <c r="E938" t="s">
        <v>35</v>
      </c>
      <c r="G938" t="s">
        <v>37</v>
      </c>
      <c r="H938">
        <v>0</v>
      </c>
      <c r="I938">
        <v>0</v>
      </c>
      <c r="J938">
        <v>0</v>
      </c>
      <c r="K938">
        <v>0</v>
      </c>
      <c r="L938">
        <v>0</v>
      </c>
      <c r="M938">
        <v>0</v>
      </c>
      <c r="N938">
        <v>0</v>
      </c>
      <c r="O938">
        <v>0</v>
      </c>
      <c r="Q938">
        <v>82</v>
      </c>
    </row>
    <row r="939" spans="1:17">
      <c r="A939" t="s">
        <v>985</v>
      </c>
      <c r="B939" s="8">
        <v>45765</v>
      </c>
      <c r="C939" t="s">
        <v>2</v>
      </c>
      <c r="D939" t="s">
        <v>44</v>
      </c>
      <c r="E939" t="s">
        <v>40</v>
      </c>
      <c r="F939" t="s">
        <v>45</v>
      </c>
      <c r="G939" t="s">
        <v>42</v>
      </c>
      <c r="H939">
        <v>0</v>
      </c>
      <c r="I939">
        <v>0</v>
      </c>
      <c r="J939">
        <v>0</v>
      </c>
      <c r="K939">
        <v>0</v>
      </c>
      <c r="L939">
        <v>0</v>
      </c>
      <c r="M939">
        <v>0</v>
      </c>
      <c r="N939">
        <v>0</v>
      </c>
      <c r="O939">
        <v>0</v>
      </c>
      <c r="Q939">
        <v>72.099999999999994</v>
      </c>
    </row>
    <row r="940" spans="1:17">
      <c r="A940" t="s">
        <v>986</v>
      </c>
      <c r="B940" s="8">
        <v>45686</v>
      </c>
      <c r="C940" t="s">
        <v>2</v>
      </c>
      <c r="D940" t="s">
        <v>34</v>
      </c>
      <c r="E940" t="s">
        <v>35</v>
      </c>
      <c r="F940" t="s">
        <v>36</v>
      </c>
      <c r="G940" t="s">
        <v>46</v>
      </c>
      <c r="H940">
        <v>1</v>
      </c>
      <c r="I940">
        <v>1</v>
      </c>
      <c r="J940">
        <v>0</v>
      </c>
      <c r="K940">
        <v>0</v>
      </c>
      <c r="L940">
        <v>0</v>
      </c>
      <c r="M940">
        <v>0</v>
      </c>
      <c r="N940">
        <v>0</v>
      </c>
      <c r="O940">
        <v>0</v>
      </c>
      <c r="Q940">
        <v>68.3</v>
      </c>
    </row>
    <row r="941" spans="1:17">
      <c r="A941" t="s">
        <v>987</v>
      </c>
      <c r="B941" s="8">
        <v>45805</v>
      </c>
      <c r="C941" t="s">
        <v>2</v>
      </c>
      <c r="D941" t="s">
        <v>39</v>
      </c>
      <c r="E941" t="s">
        <v>40</v>
      </c>
      <c r="F941" t="s">
        <v>41</v>
      </c>
      <c r="G941" t="s">
        <v>46</v>
      </c>
      <c r="H941">
        <v>0</v>
      </c>
      <c r="I941">
        <v>0</v>
      </c>
      <c r="J941">
        <v>0</v>
      </c>
      <c r="K941">
        <v>0</v>
      </c>
      <c r="L941">
        <v>0</v>
      </c>
      <c r="M941">
        <v>0</v>
      </c>
      <c r="N941">
        <v>0</v>
      </c>
      <c r="O941">
        <v>0</v>
      </c>
      <c r="Q941">
        <v>100</v>
      </c>
    </row>
    <row r="942" spans="1:17">
      <c r="A942" t="s">
        <v>988</v>
      </c>
      <c r="B942" s="8">
        <v>45672</v>
      </c>
      <c r="C942" t="s">
        <v>2</v>
      </c>
      <c r="D942" t="s">
        <v>44</v>
      </c>
      <c r="E942" t="s">
        <v>40</v>
      </c>
      <c r="F942" t="s">
        <v>36</v>
      </c>
      <c r="G942" t="s">
        <v>42</v>
      </c>
      <c r="H942">
        <v>1</v>
      </c>
      <c r="I942">
        <v>1</v>
      </c>
      <c r="J942">
        <v>1</v>
      </c>
      <c r="K942">
        <v>0</v>
      </c>
      <c r="L942">
        <v>0</v>
      </c>
      <c r="M942">
        <v>2</v>
      </c>
      <c r="N942">
        <v>1</v>
      </c>
      <c r="O942">
        <v>0</v>
      </c>
      <c r="Q942">
        <v>76.5</v>
      </c>
    </row>
    <row r="943" spans="1:17">
      <c r="A943" t="s">
        <v>989</v>
      </c>
      <c r="B943" s="8">
        <v>45660</v>
      </c>
      <c r="C943" t="s">
        <v>2</v>
      </c>
      <c r="D943" t="s">
        <v>48</v>
      </c>
      <c r="E943" t="s">
        <v>40</v>
      </c>
      <c r="F943" t="s">
        <v>41</v>
      </c>
      <c r="G943" t="s">
        <v>37</v>
      </c>
      <c r="H943">
        <v>1</v>
      </c>
      <c r="I943">
        <v>1</v>
      </c>
      <c r="J943">
        <v>0</v>
      </c>
      <c r="K943">
        <v>0</v>
      </c>
      <c r="L943">
        <v>0</v>
      </c>
      <c r="M943">
        <v>0</v>
      </c>
      <c r="N943">
        <v>0</v>
      </c>
      <c r="O943">
        <v>0</v>
      </c>
      <c r="Q943">
        <v>62</v>
      </c>
    </row>
    <row r="944" spans="1:17">
      <c r="A944" t="s">
        <v>990</v>
      </c>
      <c r="B944" s="8">
        <v>45692</v>
      </c>
      <c r="C944" t="s">
        <v>2</v>
      </c>
      <c r="D944" t="s">
        <v>48</v>
      </c>
      <c r="E944" t="s">
        <v>40</v>
      </c>
      <c r="F944" t="s">
        <v>45</v>
      </c>
      <c r="G944" t="s">
        <v>42</v>
      </c>
      <c r="H944">
        <v>1</v>
      </c>
      <c r="I944">
        <v>1</v>
      </c>
      <c r="J944">
        <v>1</v>
      </c>
      <c r="K944">
        <v>1</v>
      </c>
      <c r="L944">
        <v>324.68</v>
      </c>
      <c r="M944">
        <v>1</v>
      </c>
      <c r="N944">
        <v>1</v>
      </c>
      <c r="O944">
        <v>0</v>
      </c>
      <c r="P944">
        <v>7</v>
      </c>
      <c r="Q944">
        <v>50.1</v>
      </c>
    </row>
    <row r="945" spans="1:17">
      <c r="A945" t="s">
        <v>991</v>
      </c>
      <c r="B945" s="8">
        <v>45710</v>
      </c>
      <c r="C945" t="s">
        <v>2</v>
      </c>
      <c r="D945" t="s">
        <v>48</v>
      </c>
      <c r="E945" t="s">
        <v>40</v>
      </c>
      <c r="F945" t="s">
        <v>55</v>
      </c>
      <c r="G945" t="s">
        <v>46</v>
      </c>
      <c r="H945">
        <v>1</v>
      </c>
      <c r="I945">
        <v>0</v>
      </c>
      <c r="J945">
        <v>0</v>
      </c>
      <c r="K945">
        <v>0</v>
      </c>
      <c r="L945">
        <v>0</v>
      </c>
      <c r="M945">
        <v>0</v>
      </c>
      <c r="N945">
        <v>0</v>
      </c>
      <c r="O945">
        <v>0</v>
      </c>
      <c r="Q945">
        <v>62.1</v>
      </c>
    </row>
    <row r="946" spans="1:17">
      <c r="A946" t="s">
        <v>992</v>
      </c>
      <c r="B946" s="8">
        <v>45783</v>
      </c>
      <c r="C946" t="s">
        <v>2</v>
      </c>
      <c r="D946" t="s">
        <v>39</v>
      </c>
      <c r="E946" t="s">
        <v>40</v>
      </c>
      <c r="F946" t="s">
        <v>41</v>
      </c>
      <c r="G946" t="s">
        <v>37</v>
      </c>
      <c r="H946">
        <v>1</v>
      </c>
      <c r="I946">
        <v>0</v>
      </c>
      <c r="J946">
        <v>0</v>
      </c>
      <c r="K946">
        <v>0</v>
      </c>
      <c r="L946">
        <v>0</v>
      </c>
      <c r="M946">
        <v>0</v>
      </c>
      <c r="N946">
        <v>0</v>
      </c>
      <c r="O946">
        <v>0</v>
      </c>
      <c r="Q946">
        <v>49.7</v>
      </c>
    </row>
    <row r="947" spans="1:17">
      <c r="A947" t="s">
        <v>993</v>
      </c>
      <c r="B947" s="8">
        <v>45688</v>
      </c>
      <c r="C947" t="s">
        <v>2</v>
      </c>
      <c r="D947" t="s">
        <v>48</v>
      </c>
      <c r="E947" t="s">
        <v>40</v>
      </c>
      <c r="F947" t="s">
        <v>41</v>
      </c>
      <c r="G947" t="s">
        <v>42</v>
      </c>
      <c r="H947">
        <v>1</v>
      </c>
      <c r="I947">
        <v>0</v>
      </c>
      <c r="J947">
        <v>0</v>
      </c>
      <c r="K947">
        <v>0</v>
      </c>
      <c r="L947">
        <v>0</v>
      </c>
      <c r="M947">
        <v>3</v>
      </c>
      <c r="N947">
        <v>1</v>
      </c>
      <c r="O947">
        <v>0</v>
      </c>
      <c r="Q947">
        <v>71.099999999999994</v>
      </c>
    </row>
    <row r="948" spans="1:17">
      <c r="A948" t="s">
        <v>994</v>
      </c>
      <c r="B948" s="8">
        <v>45706</v>
      </c>
      <c r="C948" t="s">
        <v>2</v>
      </c>
      <c r="D948" t="s">
        <v>34</v>
      </c>
      <c r="E948" t="s">
        <v>40</v>
      </c>
      <c r="F948" t="s">
        <v>57</v>
      </c>
      <c r="G948" t="s">
        <v>37</v>
      </c>
      <c r="H948">
        <v>0</v>
      </c>
      <c r="I948">
        <v>0</v>
      </c>
      <c r="J948">
        <v>0</v>
      </c>
      <c r="K948">
        <v>0</v>
      </c>
      <c r="L948">
        <v>0</v>
      </c>
      <c r="M948">
        <v>0</v>
      </c>
      <c r="N948">
        <v>0</v>
      </c>
      <c r="O948">
        <v>0</v>
      </c>
      <c r="Q948">
        <v>70.8</v>
      </c>
    </row>
    <row r="949" spans="1:17">
      <c r="A949" t="s">
        <v>995</v>
      </c>
      <c r="B949" s="8">
        <v>45770</v>
      </c>
      <c r="C949" t="s">
        <v>2</v>
      </c>
      <c r="D949" t="s">
        <v>44</v>
      </c>
      <c r="E949" t="s">
        <v>40</v>
      </c>
      <c r="F949" t="s">
        <v>45</v>
      </c>
      <c r="G949" t="s">
        <v>42</v>
      </c>
      <c r="H949">
        <v>1</v>
      </c>
      <c r="I949">
        <v>1</v>
      </c>
      <c r="J949">
        <v>1</v>
      </c>
      <c r="K949">
        <v>1</v>
      </c>
      <c r="L949">
        <v>301.98</v>
      </c>
      <c r="M949">
        <v>0</v>
      </c>
      <c r="N949">
        <v>0</v>
      </c>
      <c r="O949">
        <v>0</v>
      </c>
      <c r="P949">
        <v>10</v>
      </c>
      <c r="Q949">
        <v>52.2</v>
      </c>
    </row>
    <row r="950" spans="1:17">
      <c r="A950" t="s">
        <v>996</v>
      </c>
      <c r="B950" s="8">
        <v>45694</v>
      </c>
      <c r="C950" t="s">
        <v>2</v>
      </c>
      <c r="D950" t="s">
        <v>34</v>
      </c>
      <c r="E950" t="s">
        <v>40</v>
      </c>
      <c r="F950" t="s">
        <v>41</v>
      </c>
      <c r="G950" t="s">
        <v>42</v>
      </c>
      <c r="H950">
        <v>1</v>
      </c>
      <c r="I950">
        <v>1</v>
      </c>
      <c r="J950">
        <v>1</v>
      </c>
      <c r="K950">
        <v>0</v>
      </c>
      <c r="L950">
        <v>0</v>
      </c>
      <c r="M950">
        <v>0</v>
      </c>
      <c r="N950">
        <v>0</v>
      </c>
      <c r="O950">
        <v>0</v>
      </c>
      <c r="Q950">
        <v>73</v>
      </c>
    </row>
    <row r="951" spans="1:17">
      <c r="A951" t="s">
        <v>997</v>
      </c>
      <c r="B951" s="8">
        <v>45773</v>
      </c>
      <c r="C951" t="s">
        <v>2</v>
      </c>
      <c r="D951" t="s">
        <v>48</v>
      </c>
      <c r="E951" t="s">
        <v>35</v>
      </c>
      <c r="F951" t="s">
        <v>45</v>
      </c>
      <c r="G951" t="s">
        <v>42</v>
      </c>
      <c r="H951">
        <v>0</v>
      </c>
      <c r="I951">
        <v>0</v>
      </c>
      <c r="J951">
        <v>0</v>
      </c>
      <c r="K951">
        <v>0</v>
      </c>
      <c r="L951">
        <v>0</v>
      </c>
      <c r="M951">
        <v>0</v>
      </c>
      <c r="N951">
        <v>0</v>
      </c>
      <c r="O951">
        <v>0</v>
      </c>
      <c r="Q951">
        <v>78.2</v>
      </c>
    </row>
    <row r="952" spans="1:17">
      <c r="A952" t="s">
        <v>998</v>
      </c>
      <c r="B952" s="8">
        <v>45746</v>
      </c>
      <c r="C952" t="s">
        <v>2</v>
      </c>
      <c r="D952" t="s">
        <v>39</v>
      </c>
      <c r="E952" t="s">
        <v>35</v>
      </c>
      <c r="F952" t="s">
        <v>45</v>
      </c>
      <c r="G952" t="s">
        <v>37</v>
      </c>
      <c r="H952">
        <v>1</v>
      </c>
      <c r="I952">
        <v>0</v>
      </c>
      <c r="J952">
        <v>0</v>
      </c>
      <c r="K952">
        <v>0</v>
      </c>
      <c r="L952">
        <v>0</v>
      </c>
      <c r="M952">
        <v>0</v>
      </c>
      <c r="N952">
        <v>0</v>
      </c>
      <c r="O952">
        <v>0</v>
      </c>
      <c r="Q952">
        <v>68.8</v>
      </c>
    </row>
    <row r="953" spans="1:17">
      <c r="A953" t="s">
        <v>999</v>
      </c>
      <c r="B953" s="8">
        <v>45760</v>
      </c>
      <c r="C953" t="s">
        <v>2</v>
      </c>
      <c r="D953" t="s">
        <v>39</v>
      </c>
      <c r="E953" t="s">
        <v>40</v>
      </c>
      <c r="G953" t="s">
        <v>46</v>
      </c>
      <c r="H953">
        <v>1</v>
      </c>
      <c r="I953">
        <v>0</v>
      </c>
      <c r="J953">
        <v>0</v>
      </c>
      <c r="K953">
        <v>0</v>
      </c>
      <c r="L953">
        <v>0</v>
      </c>
      <c r="M953">
        <v>0</v>
      </c>
      <c r="N953">
        <v>0</v>
      </c>
      <c r="O953">
        <v>0</v>
      </c>
      <c r="Q953">
        <v>57.1</v>
      </c>
    </row>
    <row r="954" spans="1:17">
      <c r="A954" t="s">
        <v>1000</v>
      </c>
      <c r="B954" s="8">
        <v>45751</v>
      </c>
      <c r="C954" t="s">
        <v>2</v>
      </c>
      <c r="D954" t="s">
        <v>44</v>
      </c>
      <c r="E954" t="s">
        <v>35</v>
      </c>
      <c r="F954" t="s">
        <v>41</v>
      </c>
      <c r="G954" t="s">
        <v>46</v>
      </c>
      <c r="H954">
        <v>0</v>
      </c>
      <c r="I954">
        <v>0</v>
      </c>
      <c r="J954">
        <v>0</v>
      </c>
      <c r="K954">
        <v>0</v>
      </c>
      <c r="L954">
        <v>0</v>
      </c>
      <c r="M954">
        <v>1</v>
      </c>
      <c r="N954">
        <v>1</v>
      </c>
      <c r="O954">
        <v>0</v>
      </c>
      <c r="Q954">
        <v>74.599999999999994</v>
      </c>
    </row>
    <row r="955" spans="1:17">
      <c r="A955" t="s">
        <v>1001</v>
      </c>
      <c r="B955" s="8">
        <v>45750</v>
      </c>
      <c r="C955" t="s">
        <v>2</v>
      </c>
      <c r="D955" t="s">
        <v>34</v>
      </c>
      <c r="E955" t="s">
        <v>35</v>
      </c>
      <c r="F955" t="s">
        <v>55</v>
      </c>
      <c r="G955" t="s">
        <v>42</v>
      </c>
      <c r="H955">
        <v>1</v>
      </c>
      <c r="I955">
        <v>0</v>
      </c>
      <c r="J955">
        <v>0</v>
      </c>
      <c r="K955">
        <v>0</v>
      </c>
      <c r="L955">
        <v>0</v>
      </c>
      <c r="M955">
        <v>1</v>
      </c>
      <c r="N955">
        <v>1</v>
      </c>
      <c r="O955">
        <v>0</v>
      </c>
      <c r="Q955">
        <v>64.099999999999994</v>
      </c>
    </row>
    <row r="956" spans="1:17">
      <c r="A956" t="s">
        <v>1002</v>
      </c>
      <c r="B956" s="8">
        <v>45730</v>
      </c>
      <c r="C956" t="s">
        <v>2</v>
      </c>
      <c r="D956" t="s">
        <v>39</v>
      </c>
      <c r="E956" t="s">
        <v>40</v>
      </c>
      <c r="F956" t="s">
        <v>45</v>
      </c>
      <c r="G956" t="s">
        <v>46</v>
      </c>
      <c r="H956">
        <v>1</v>
      </c>
      <c r="I956">
        <v>0</v>
      </c>
      <c r="J956">
        <v>0</v>
      </c>
      <c r="K956">
        <v>0</v>
      </c>
      <c r="L956">
        <v>0</v>
      </c>
      <c r="M956">
        <v>0</v>
      </c>
      <c r="N956">
        <v>0</v>
      </c>
      <c r="O956">
        <v>0</v>
      </c>
      <c r="Q956">
        <v>67.3</v>
      </c>
    </row>
    <row r="957" spans="1:17">
      <c r="A957" t="s">
        <v>1003</v>
      </c>
      <c r="B957" s="8">
        <v>45671</v>
      </c>
      <c r="C957" t="s">
        <v>2</v>
      </c>
      <c r="D957" t="s">
        <v>39</v>
      </c>
      <c r="E957" t="s">
        <v>40</v>
      </c>
      <c r="F957" t="s">
        <v>55</v>
      </c>
      <c r="G957" t="s">
        <v>42</v>
      </c>
      <c r="H957">
        <v>0</v>
      </c>
      <c r="I957">
        <v>0</v>
      </c>
      <c r="J957">
        <v>0</v>
      </c>
      <c r="K957">
        <v>0</v>
      </c>
      <c r="L957">
        <v>0</v>
      </c>
      <c r="M957">
        <v>2</v>
      </c>
      <c r="N957">
        <v>1</v>
      </c>
      <c r="O957">
        <v>0</v>
      </c>
      <c r="Q957">
        <v>41</v>
      </c>
    </row>
    <row r="958" spans="1:17">
      <c r="A958" t="s">
        <v>1004</v>
      </c>
      <c r="B958" s="8">
        <v>45782</v>
      </c>
      <c r="C958" t="s">
        <v>2</v>
      </c>
      <c r="D958" t="s">
        <v>39</v>
      </c>
      <c r="E958" t="s">
        <v>40</v>
      </c>
      <c r="F958" t="s">
        <v>45</v>
      </c>
      <c r="G958" t="s">
        <v>42</v>
      </c>
      <c r="H958">
        <v>0</v>
      </c>
      <c r="I958">
        <v>0</v>
      </c>
      <c r="J958">
        <v>0</v>
      </c>
      <c r="K958">
        <v>0</v>
      </c>
      <c r="L958">
        <v>0</v>
      </c>
      <c r="M958">
        <v>0</v>
      </c>
      <c r="N958">
        <v>0</v>
      </c>
      <c r="O958">
        <v>0</v>
      </c>
      <c r="Q958">
        <v>48.1</v>
      </c>
    </row>
    <row r="959" spans="1:17">
      <c r="A959" t="s">
        <v>1005</v>
      </c>
      <c r="B959" s="8">
        <v>45779</v>
      </c>
      <c r="C959" t="s">
        <v>2</v>
      </c>
      <c r="D959" t="s">
        <v>39</v>
      </c>
      <c r="E959" t="s">
        <v>35</v>
      </c>
      <c r="F959" t="s">
        <v>57</v>
      </c>
      <c r="G959" t="s">
        <v>42</v>
      </c>
      <c r="H959">
        <v>0</v>
      </c>
      <c r="I959">
        <v>0</v>
      </c>
      <c r="J959">
        <v>0</v>
      </c>
      <c r="K959">
        <v>0</v>
      </c>
      <c r="L959">
        <v>0</v>
      </c>
      <c r="M959">
        <v>1</v>
      </c>
      <c r="N959">
        <v>1</v>
      </c>
      <c r="O959">
        <v>0</v>
      </c>
      <c r="Q959">
        <v>60.8</v>
      </c>
    </row>
    <row r="960" spans="1:17">
      <c r="A960" t="s">
        <v>1006</v>
      </c>
      <c r="B960" s="8">
        <v>45798</v>
      </c>
      <c r="C960" t="s">
        <v>2</v>
      </c>
      <c r="D960" t="s">
        <v>44</v>
      </c>
      <c r="E960" t="s">
        <v>40</v>
      </c>
      <c r="F960" t="s">
        <v>41</v>
      </c>
      <c r="G960" t="s">
        <v>42</v>
      </c>
      <c r="H960">
        <v>1</v>
      </c>
      <c r="I960">
        <v>0</v>
      </c>
      <c r="J960">
        <v>0</v>
      </c>
      <c r="K960">
        <v>0</v>
      </c>
      <c r="L960">
        <v>0</v>
      </c>
      <c r="M960">
        <v>0</v>
      </c>
      <c r="N960">
        <v>0</v>
      </c>
      <c r="O960">
        <v>0</v>
      </c>
      <c r="Q960">
        <v>63.1</v>
      </c>
    </row>
    <row r="961" spans="1:17">
      <c r="A961" t="s">
        <v>1007</v>
      </c>
      <c r="B961" s="8">
        <v>45793</v>
      </c>
      <c r="C961" t="s">
        <v>2</v>
      </c>
      <c r="D961" t="s">
        <v>34</v>
      </c>
      <c r="E961" t="s">
        <v>40</v>
      </c>
      <c r="F961" t="s">
        <v>55</v>
      </c>
      <c r="G961" t="s">
        <v>46</v>
      </c>
      <c r="H961">
        <v>1</v>
      </c>
      <c r="I961">
        <v>0</v>
      </c>
      <c r="J961">
        <v>0</v>
      </c>
      <c r="K961">
        <v>0</v>
      </c>
      <c r="L961">
        <v>0</v>
      </c>
      <c r="M961">
        <v>2</v>
      </c>
      <c r="N961">
        <v>1</v>
      </c>
      <c r="O961">
        <v>0</v>
      </c>
      <c r="Q961">
        <v>49.7</v>
      </c>
    </row>
    <row r="962" spans="1:17">
      <c r="A962" t="s">
        <v>1008</v>
      </c>
      <c r="B962" s="8">
        <v>45801</v>
      </c>
      <c r="C962" t="s">
        <v>2</v>
      </c>
      <c r="D962" t="s">
        <v>44</v>
      </c>
      <c r="E962" t="s">
        <v>35</v>
      </c>
      <c r="F962" t="s">
        <v>41</v>
      </c>
      <c r="G962" t="s">
        <v>46</v>
      </c>
      <c r="H962">
        <v>1</v>
      </c>
      <c r="I962">
        <v>1</v>
      </c>
      <c r="J962">
        <v>1</v>
      </c>
      <c r="K962">
        <v>0</v>
      </c>
      <c r="L962">
        <v>0</v>
      </c>
      <c r="M962">
        <v>1</v>
      </c>
      <c r="N962">
        <v>1</v>
      </c>
      <c r="O962">
        <v>0</v>
      </c>
      <c r="Q962">
        <v>83.4</v>
      </c>
    </row>
    <row r="963" spans="1:17">
      <c r="A963" t="s">
        <v>1009</v>
      </c>
      <c r="B963" s="8">
        <v>45734</v>
      </c>
      <c r="C963" t="s">
        <v>2</v>
      </c>
      <c r="D963" t="s">
        <v>44</v>
      </c>
      <c r="E963" t="s">
        <v>40</v>
      </c>
      <c r="F963" t="s">
        <v>41</v>
      </c>
      <c r="G963" t="s">
        <v>37</v>
      </c>
      <c r="H963">
        <v>1</v>
      </c>
      <c r="I963">
        <v>0</v>
      </c>
      <c r="J963">
        <v>0</v>
      </c>
      <c r="K963">
        <v>0</v>
      </c>
      <c r="L963">
        <v>0</v>
      </c>
      <c r="M963">
        <v>0</v>
      </c>
      <c r="N963">
        <v>0</v>
      </c>
      <c r="O963">
        <v>0</v>
      </c>
      <c r="Q963">
        <v>75.900000000000006</v>
      </c>
    </row>
    <row r="964" spans="1:17">
      <c r="A964" t="s">
        <v>1010</v>
      </c>
      <c r="B964" s="8">
        <v>45668</v>
      </c>
      <c r="C964" t="s">
        <v>2</v>
      </c>
      <c r="D964" t="s">
        <v>44</v>
      </c>
      <c r="E964" t="s">
        <v>35</v>
      </c>
      <c r="F964" t="s">
        <v>45</v>
      </c>
      <c r="G964" t="s">
        <v>42</v>
      </c>
      <c r="H964">
        <v>0</v>
      </c>
      <c r="I964">
        <v>0</v>
      </c>
      <c r="J964">
        <v>0</v>
      </c>
      <c r="K964">
        <v>0</v>
      </c>
      <c r="L964">
        <v>0</v>
      </c>
      <c r="M964">
        <v>1</v>
      </c>
      <c r="N964">
        <v>1</v>
      </c>
      <c r="O964">
        <v>0</v>
      </c>
      <c r="Q964">
        <v>71.8</v>
      </c>
    </row>
    <row r="965" spans="1:17">
      <c r="A965" t="s">
        <v>1011</v>
      </c>
      <c r="B965" s="8">
        <v>45697</v>
      </c>
      <c r="C965" t="s">
        <v>2</v>
      </c>
      <c r="D965" t="s">
        <v>48</v>
      </c>
      <c r="E965" t="s">
        <v>40</v>
      </c>
      <c r="F965" t="s">
        <v>41</v>
      </c>
      <c r="G965" t="s">
        <v>37</v>
      </c>
      <c r="H965">
        <v>0</v>
      </c>
      <c r="I965">
        <v>0</v>
      </c>
      <c r="J965">
        <v>0</v>
      </c>
      <c r="K965">
        <v>0</v>
      </c>
      <c r="L965">
        <v>0</v>
      </c>
      <c r="M965">
        <v>0</v>
      </c>
      <c r="N965">
        <v>0</v>
      </c>
      <c r="O965">
        <v>0</v>
      </c>
      <c r="Q965">
        <v>37.9</v>
      </c>
    </row>
    <row r="966" spans="1:17">
      <c r="A966" t="s">
        <v>1012</v>
      </c>
      <c r="B966" s="8">
        <v>45717</v>
      </c>
      <c r="C966" t="s">
        <v>2</v>
      </c>
      <c r="D966" t="s">
        <v>34</v>
      </c>
      <c r="E966" t="s">
        <v>35</v>
      </c>
      <c r="F966" t="s">
        <v>57</v>
      </c>
      <c r="G966" t="s">
        <v>42</v>
      </c>
      <c r="H966">
        <v>1</v>
      </c>
      <c r="I966">
        <v>0</v>
      </c>
      <c r="J966">
        <v>0</v>
      </c>
      <c r="K966">
        <v>0</v>
      </c>
      <c r="L966">
        <v>0</v>
      </c>
      <c r="M966">
        <v>0</v>
      </c>
      <c r="N966">
        <v>0</v>
      </c>
      <c r="O966">
        <v>0</v>
      </c>
      <c r="Q966">
        <v>59.8</v>
      </c>
    </row>
    <row r="967" spans="1:17">
      <c r="A967" t="s">
        <v>1013</v>
      </c>
      <c r="B967" s="8">
        <v>45784</v>
      </c>
      <c r="C967" t="s">
        <v>2</v>
      </c>
      <c r="D967" t="s">
        <v>34</v>
      </c>
      <c r="E967" t="s">
        <v>40</v>
      </c>
      <c r="F967" t="s">
        <v>41</v>
      </c>
      <c r="G967" t="s">
        <v>37</v>
      </c>
      <c r="H967">
        <v>0</v>
      </c>
      <c r="I967">
        <v>0</v>
      </c>
      <c r="J967">
        <v>0</v>
      </c>
      <c r="K967">
        <v>0</v>
      </c>
      <c r="L967">
        <v>0</v>
      </c>
      <c r="M967">
        <v>0</v>
      </c>
      <c r="N967">
        <v>0</v>
      </c>
      <c r="O967">
        <v>0</v>
      </c>
      <c r="Q967">
        <v>66.900000000000006</v>
      </c>
    </row>
    <row r="968" spans="1:17">
      <c r="A968" t="s">
        <v>1014</v>
      </c>
      <c r="B968" s="8">
        <v>45707</v>
      </c>
      <c r="C968" t="s">
        <v>2</v>
      </c>
      <c r="D968" t="s">
        <v>48</v>
      </c>
      <c r="E968" t="s">
        <v>35</v>
      </c>
      <c r="G968" t="s">
        <v>42</v>
      </c>
      <c r="H968">
        <v>1</v>
      </c>
      <c r="I968">
        <v>0</v>
      </c>
      <c r="J968">
        <v>0</v>
      </c>
      <c r="K968">
        <v>0</v>
      </c>
      <c r="L968">
        <v>0</v>
      </c>
      <c r="M968">
        <v>0</v>
      </c>
      <c r="N968">
        <v>0</v>
      </c>
      <c r="O968">
        <v>0</v>
      </c>
      <c r="Q968">
        <v>59</v>
      </c>
    </row>
    <row r="969" spans="1:17">
      <c r="A969" t="s">
        <v>1015</v>
      </c>
      <c r="B969" s="8">
        <v>45714</v>
      </c>
      <c r="C969" t="s">
        <v>2</v>
      </c>
      <c r="D969" t="s">
        <v>39</v>
      </c>
      <c r="E969" t="s">
        <v>40</v>
      </c>
      <c r="F969" t="s">
        <v>41</v>
      </c>
      <c r="G969" t="s">
        <v>46</v>
      </c>
      <c r="H969">
        <v>1</v>
      </c>
      <c r="I969">
        <v>0</v>
      </c>
      <c r="J969">
        <v>0</v>
      </c>
      <c r="K969">
        <v>0</v>
      </c>
      <c r="L969">
        <v>0</v>
      </c>
      <c r="M969">
        <v>0</v>
      </c>
      <c r="N969">
        <v>0</v>
      </c>
      <c r="O969">
        <v>0</v>
      </c>
      <c r="Q969">
        <v>80.099999999999994</v>
      </c>
    </row>
    <row r="970" spans="1:17">
      <c r="A970" t="s">
        <v>1016</v>
      </c>
      <c r="B970" s="8">
        <v>45739</v>
      </c>
      <c r="C970" t="s">
        <v>2</v>
      </c>
      <c r="D970" t="s">
        <v>48</v>
      </c>
      <c r="E970" t="s">
        <v>40</v>
      </c>
      <c r="F970" t="s">
        <v>57</v>
      </c>
      <c r="G970" t="s">
        <v>42</v>
      </c>
      <c r="H970">
        <v>0</v>
      </c>
      <c r="I970">
        <v>0</v>
      </c>
      <c r="J970">
        <v>0</v>
      </c>
      <c r="K970">
        <v>0</v>
      </c>
      <c r="L970">
        <v>0</v>
      </c>
      <c r="M970">
        <v>0</v>
      </c>
      <c r="N970">
        <v>0</v>
      </c>
      <c r="O970">
        <v>0</v>
      </c>
      <c r="Q970">
        <v>64.3</v>
      </c>
    </row>
    <row r="971" spans="1:17">
      <c r="A971" t="s">
        <v>1017</v>
      </c>
      <c r="B971" s="8">
        <v>45772</v>
      </c>
      <c r="C971" t="s">
        <v>2</v>
      </c>
      <c r="D971" t="s">
        <v>48</v>
      </c>
      <c r="E971" t="s">
        <v>35</v>
      </c>
      <c r="F971" t="s">
        <v>57</v>
      </c>
      <c r="G971" t="s">
        <v>42</v>
      </c>
      <c r="H971">
        <v>0</v>
      </c>
      <c r="I971">
        <v>0</v>
      </c>
      <c r="J971">
        <v>0</v>
      </c>
      <c r="K971">
        <v>0</v>
      </c>
      <c r="L971">
        <v>0</v>
      </c>
      <c r="M971">
        <v>1</v>
      </c>
      <c r="N971">
        <v>1</v>
      </c>
      <c r="O971">
        <v>0</v>
      </c>
      <c r="Q971">
        <v>57.4</v>
      </c>
    </row>
    <row r="972" spans="1:17">
      <c r="A972" t="s">
        <v>1018</v>
      </c>
      <c r="B972" s="8">
        <v>45787</v>
      </c>
      <c r="C972" t="s">
        <v>2</v>
      </c>
      <c r="D972" t="s">
        <v>34</v>
      </c>
      <c r="E972" t="s">
        <v>35</v>
      </c>
      <c r="F972" t="s">
        <v>57</v>
      </c>
      <c r="G972" t="s">
        <v>42</v>
      </c>
      <c r="H972">
        <v>1</v>
      </c>
      <c r="I972">
        <v>1</v>
      </c>
      <c r="J972">
        <v>1</v>
      </c>
      <c r="K972">
        <v>0</v>
      </c>
      <c r="L972">
        <v>0</v>
      </c>
      <c r="M972">
        <v>0</v>
      </c>
      <c r="N972">
        <v>0</v>
      </c>
      <c r="O972">
        <v>0</v>
      </c>
      <c r="Q972">
        <v>83.6</v>
      </c>
    </row>
    <row r="973" spans="1:17">
      <c r="A973" t="s">
        <v>1019</v>
      </c>
      <c r="B973" s="8">
        <v>45769</v>
      </c>
      <c r="C973" t="s">
        <v>2</v>
      </c>
      <c r="D973" t="s">
        <v>44</v>
      </c>
      <c r="E973" t="s">
        <v>40</v>
      </c>
      <c r="F973" t="s">
        <v>45</v>
      </c>
      <c r="G973" t="s">
        <v>46</v>
      </c>
      <c r="H973">
        <v>0</v>
      </c>
      <c r="I973">
        <v>0</v>
      </c>
      <c r="J973">
        <v>0</v>
      </c>
      <c r="K973">
        <v>0</v>
      </c>
      <c r="L973">
        <v>0</v>
      </c>
      <c r="M973">
        <v>0</v>
      </c>
      <c r="N973">
        <v>0</v>
      </c>
      <c r="O973">
        <v>0</v>
      </c>
      <c r="Q973">
        <v>45.8</v>
      </c>
    </row>
    <row r="974" spans="1:17">
      <c r="A974" t="s">
        <v>1020</v>
      </c>
      <c r="B974" s="8">
        <v>45706</v>
      </c>
      <c r="C974" t="s">
        <v>2</v>
      </c>
      <c r="D974" t="s">
        <v>39</v>
      </c>
      <c r="E974" t="s">
        <v>40</v>
      </c>
      <c r="F974" t="s">
        <v>55</v>
      </c>
      <c r="G974" t="s">
        <v>37</v>
      </c>
      <c r="H974">
        <v>1</v>
      </c>
      <c r="I974">
        <v>1</v>
      </c>
      <c r="J974">
        <v>1</v>
      </c>
      <c r="K974">
        <v>0</v>
      </c>
      <c r="L974">
        <v>0</v>
      </c>
      <c r="M974">
        <v>0</v>
      </c>
      <c r="N974">
        <v>0</v>
      </c>
      <c r="O974">
        <v>0</v>
      </c>
      <c r="Q974">
        <v>64.3</v>
      </c>
    </row>
    <row r="975" spans="1:17">
      <c r="A975" t="s">
        <v>1021</v>
      </c>
      <c r="B975" s="8">
        <v>45683</v>
      </c>
      <c r="C975" t="s">
        <v>2</v>
      </c>
      <c r="D975" t="s">
        <v>48</v>
      </c>
      <c r="E975" t="s">
        <v>40</v>
      </c>
      <c r="F975" t="s">
        <v>45</v>
      </c>
      <c r="G975" t="s">
        <v>46</v>
      </c>
      <c r="H975">
        <v>1</v>
      </c>
      <c r="I975">
        <v>1</v>
      </c>
      <c r="J975">
        <v>1</v>
      </c>
      <c r="K975">
        <v>0</v>
      </c>
      <c r="L975">
        <v>0</v>
      </c>
      <c r="M975">
        <v>0</v>
      </c>
      <c r="N975">
        <v>0</v>
      </c>
      <c r="O975">
        <v>0</v>
      </c>
      <c r="Q975">
        <v>80.5</v>
      </c>
    </row>
    <row r="976" spans="1:17">
      <c r="A976" t="s">
        <v>1022</v>
      </c>
      <c r="B976" s="8">
        <v>45775</v>
      </c>
      <c r="C976" t="s">
        <v>2</v>
      </c>
      <c r="D976" t="s">
        <v>34</v>
      </c>
      <c r="E976" t="s">
        <v>40</v>
      </c>
      <c r="F976" t="s">
        <v>41</v>
      </c>
      <c r="G976" t="s">
        <v>42</v>
      </c>
      <c r="H976">
        <v>1</v>
      </c>
      <c r="I976">
        <v>0</v>
      </c>
      <c r="J976">
        <v>0</v>
      </c>
      <c r="K976">
        <v>0</v>
      </c>
      <c r="L976">
        <v>0</v>
      </c>
      <c r="M976">
        <v>0</v>
      </c>
      <c r="N976">
        <v>0</v>
      </c>
      <c r="O976">
        <v>0</v>
      </c>
      <c r="Q976">
        <v>46.3</v>
      </c>
    </row>
    <row r="977" spans="1:17">
      <c r="A977" t="s">
        <v>1023</v>
      </c>
      <c r="B977" s="8">
        <v>45749</v>
      </c>
      <c r="C977" t="s">
        <v>2</v>
      </c>
      <c r="D977" t="s">
        <v>48</v>
      </c>
      <c r="E977" t="s">
        <v>35</v>
      </c>
      <c r="F977" t="s">
        <v>36</v>
      </c>
      <c r="G977" t="s">
        <v>37</v>
      </c>
      <c r="H977">
        <v>1</v>
      </c>
      <c r="I977">
        <v>0</v>
      </c>
      <c r="J977">
        <v>0</v>
      </c>
      <c r="K977">
        <v>0</v>
      </c>
      <c r="L977">
        <v>0</v>
      </c>
      <c r="M977">
        <v>0</v>
      </c>
      <c r="N977">
        <v>0</v>
      </c>
      <c r="O977">
        <v>0</v>
      </c>
      <c r="Q977">
        <v>71.599999999999994</v>
      </c>
    </row>
    <row r="978" spans="1:17">
      <c r="A978" t="s">
        <v>1024</v>
      </c>
      <c r="B978" s="8">
        <v>45759</v>
      </c>
      <c r="C978" t="s">
        <v>2</v>
      </c>
      <c r="D978" t="s">
        <v>48</v>
      </c>
      <c r="E978" t="s">
        <v>35</v>
      </c>
      <c r="F978" t="s">
        <v>36</v>
      </c>
      <c r="G978" t="s">
        <v>46</v>
      </c>
      <c r="H978">
        <v>1</v>
      </c>
      <c r="I978">
        <v>1</v>
      </c>
      <c r="J978">
        <v>0</v>
      </c>
      <c r="K978">
        <v>0</v>
      </c>
      <c r="L978">
        <v>0</v>
      </c>
      <c r="M978">
        <v>0</v>
      </c>
      <c r="N978">
        <v>0</v>
      </c>
      <c r="O978">
        <v>0</v>
      </c>
      <c r="Q978">
        <v>57.8</v>
      </c>
    </row>
    <row r="979" spans="1:17">
      <c r="A979" t="s">
        <v>1025</v>
      </c>
      <c r="B979" s="8">
        <v>45660</v>
      </c>
      <c r="C979" t="s">
        <v>2</v>
      </c>
      <c r="D979" t="s">
        <v>39</v>
      </c>
      <c r="E979" t="s">
        <v>35</v>
      </c>
      <c r="F979" t="s">
        <v>36</v>
      </c>
      <c r="G979" t="s">
        <v>37</v>
      </c>
      <c r="H979">
        <v>1</v>
      </c>
      <c r="I979">
        <v>1</v>
      </c>
      <c r="J979">
        <v>1</v>
      </c>
      <c r="K979">
        <v>0</v>
      </c>
      <c r="L979">
        <v>0</v>
      </c>
      <c r="M979">
        <v>1</v>
      </c>
      <c r="N979">
        <v>1</v>
      </c>
      <c r="O979">
        <v>0</v>
      </c>
      <c r="Q979">
        <v>57.8</v>
      </c>
    </row>
    <row r="980" spans="1:17">
      <c r="A980" t="s">
        <v>1026</v>
      </c>
      <c r="B980" s="8">
        <v>45785</v>
      </c>
      <c r="C980" t="s">
        <v>2</v>
      </c>
      <c r="D980" t="s">
        <v>34</v>
      </c>
      <c r="E980" t="s">
        <v>40</v>
      </c>
      <c r="F980" t="s">
        <v>45</v>
      </c>
      <c r="G980" t="s">
        <v>42</v>
      </c>
      <c r="H980">
        <v>1</v>
      </c>
      <c r="I980">
        <v>0</v>
      </c>
      <c r="J980">
        <v>0</v>
      </c>
      <c r="K980">
        <v>0</v>
      </c>
      <c r="L980">
        <v>0</v>
      </c>
      <c r="M980">
        <v>0</v>
      </c>
      <c r="N980">
        <v>0</v>
      </c>
      <c r="O980">
        <v>0</v>
      </c>
      <c r="Q980">
        <v>38.299999999999997</v>
      </c>
    </row>
    <row r="981" spans="1:17">
      <c r="A981" t="s">
        <v>1027</v>
      </c>
      <c r="B981" s="8">
        <v>45708</v>
      </c>
      <c r="C981" t="s">
        <v>2</v>
      </c>
      <c r="D981" t="s">
        <v>34</v>
      </c>
      <c r="E981" t="s">
        <v>40</v>
      </c>
      <c r="F981" t="s">
        <v>55</v>
      </c>
      <c r="G981" t="s">
        <v>46</v>
      </c>
      <c r="H981">
        <v>1</v>
      </c>
      <c r="I981">
        <v>0</v>
      </c>
      <c r="J981">
        <v>0</v>
      </c>
      <c r="K981">
        <v>0</v>
      </c>
      <c r="L981">
        <v>0</v>
      </c>
      <c r="M981">
        <v>1</v>
      </c>
      <c r="N981">
        <v>1</v>
      </c>
      <c r="O981">
        <v>0</v>
      </c>
      <c r="Q981">
        <v>66.099999999999994</v>
      </c>
    </row>
    <row r="982" spans="1:17">
      <c r="A982" t="s">
        <v>1028</v>
      </c>
      <c r="B982" s="8">
        <v>45733</v>
      </c>
      <c r="C982" t="s">
        <v>2</v>
      </c>
      <c r="D982" t="s">
        <v>34</v>
      </c>
      <c r="E982" t="s">
        <v>35</v>
      </c>
      <c r="F982" t="s">
        <v>45</v>
      </c>
      <c r="G982" t="s">
        <v>46</v>
      </c>
      <c r="H982">
        <v>1</v>
      </c>
      <c r="I982">
        <v>0</v>
      </c>
      <c r="J982">
        <v>0</v>
      </c>
      <c r="K982">
        <v>0</v>
      </c>
      <c r="L982">
        <v>0</v>
      </c>
      <c r="M982">
        <v>0</v>
      </c>
      <c r="N982">
        <v>0</v>
      </c>
      <c r="O982">
        <v>0</v>
      </c>
      <c r="Q982">
        <v>66.5</v>
      </c>
    </row>
    <row r="983" spans="1:17">
      <c r="A983" t="s">
        <v>1029</v>
      </c>
      <c r="B983" s="8">
        <v>45757</v>
      </c>
      <c r="C983" t="s">
        <v>2</v>
      </c>
      <c r="D983" t="s">
        <v>48</v>
      </c>
      <c r="E983" t="s">
        <v>35</v>
      </c>
      <c r="F983" t="s">
        <v>36</v>
      </c>
      <c r="G983" t="s">
        <v>42</v>
      </c>
      <c r="H983">
        <v>1</v>
      </c>
      <c r="I983">
        <v>0</v>
      </c>
      <c r="J983">
        <v>0</v>
      </c>
      <c r="K983">
        <v>0</v>
      </c>
      <c r="L983">
        <v>0</v>
      </c>
      <c r="M983">
        <v>3</v>
      </c>
      <c r="N983">
        <v>1</v>
      </c>
      <c r="O983">
        <v>0</v>
      </c>
      <c r="Q983">
        <v>51.5</v>
      </c>
    </row>
    <row r="984" spans="1:17">
      <c r="A984" t="s">
        <v>1030</v>
      </c>
      <c r="B984" s="8">
        <v>45785</v>
      </c>
      <c r="C984" t="s">
        <v>2</v>
      </c>
      <c r="D984" t="s">
        <v>34</v>
      </c>
      <c r="E984" t="s">
        <v>35</v>
      </c>
      <c r="F984" t="s">
        <v>55</v>
      </c>
      <c r="G984" t="s">
        <v>42</v>
      </c>
      <c r="H984">
        <v>1</v>
      </c>
      <c r="I984">
        <v>0</v>
      </c>
      <c r="J984">
        <v>0</v>
      </c>
      <c r="K984">
        <v>0</v>
      </c>
      <c r="L984">
        <v>0</v>
      </c>
      <c r="M984">
        <v>0</v>
      </c>
      <c r="N984">
        <v>0</v>
      </c>
      <c r="O984">
        <v>0</v>
      </c>
      <c r="Q984">
        <v>59.9</v>
      </c>
    </row>
    <row r="985" spans="1:17">
      <c r="A985" t="s">
        <v>1031</v>
      </c>
      <c r="B985" s="8">
        <v>45766</v>
      </c>
      <c r="C985" t="s">
        <v>2</v>
      </c>
      <c r="D985" t="s">
        <v>39</v>
      </c>
      <c r="E985" t="s">
        <v>40</v>
      </c>
      <c r="F985" t="s">
        <v>45</v>
      </c>
      <c r="G985" t="s">
        <v>37</v>
      </c>
      <c r="H985">
        <v>1</v>
      </c>
      <c r="I985">
        <v>0</v>
      </c>
      <c r="J985">
        <v>0</v>
      </c>
      <c r="K985">
        <v>0</v>
      </c>
      <c r="L985">
        <v>0</v>
      </c>
      <c r="M985">
        <v>0</v>
      </c>
      <c r="N985">
        <v>0</v>
      </c>
      <c r="O985">
        <v>0</v>
      </c>
      <c r="Q985">
        <v>58.8</v>
      </c>
    </row>
    <row r="986" spans="1:17">
      <c r="A986" t="s">
        <v>1032</v>
      </c>
      <c r="B986" s="8">
        <v>45658</v>
      </c>
      <c r="C986" t="s">
        <v>2</v>
      </c>
      <c r="D986" t="s">
        <v>48</v>
      </c>
      <c r="E986" t="s">
        <v>50</v>
      </c>
      <c r="F986" t="s">
        <v>45</v>
      </c>
      <c r="G986" t="s">
        <v>37</v>
      </c>
      <c r="H986">
        <v>1</v>
      </c>
      <c r="I986">
        <v>0</v>
      </c>
      <c r="J986">
        <v>0</v>
      </c>
      <c r="K986">
        <v>0</v>
      </c>
      <c r="L986">
        <v>0</v>
      </c>
      <c r="M986">
        <v>0</v>
      </c>
      <c r="N986">
        <v>0</v>
      </c>
      <c r="O986">
        <v>0</v>
      </c>
      <c r="Q986">
        <v>69.599999999999994</v>
      </c>
    </row>
    <row r="987" spans="1:17">
      <c r="A987" t="s">
        <v>1033</v>
      </c>
      <c r="B987" s="8">
        <v>45726</v>
      </c>
      <c r="C987" t="s">
        <v>2</v>
      </c>
      <c r="D987" t="s">
        <v>44</v>
      </c>
      <c r="E987" t="s">
        <v>40</v>
      </c>
      <c r="F987" t="s">
        <v>45</v>
      </c>
      <c r="G987" t="s">
        <v>42</v>
      </c>
      <c r="H987">
        <v>1</v>
      </c>
      <c r="I987">
        <v>0</v>
      </c>
      <c r="J987">
        <v>0</v>
      </c>
      <c r="K987">
        <v>0</v>
      </c>
      <c r="L987">
        <v>0</v>
      </c>
      <c r="M987">
        <v>0</v>
      </c>
      <c r="N987">
        <v>0</v>
      </c>
      <c r="O987">
        <v>0</v>
      </c>
      <c r="Q987">
        <v>77.5</v>
      </c>
    </row>
    <row r="988" spans="1:17">
      <c r="A988" t="s">
        <v>1034</v>
      </c>
      <c r="B988" s="8">
        <v>45726</v>
      </c>
      <c r="C988" t="s">
        <v>2</v>
      </c>
      <c r="D988" t="s">
        <v>44</v>
      </c>
      <c r="E988" t="s">
        <v>50</v>
      </c>
      <c r="F988" t="s">
        <v>57</v>
      </c>
      <c r="G988" t="s">
        <v>46</v>
      </c>
      <c r="H988">
        <v>0</v>
      </c>
      <c r="I988">
        <v>0</v>
      </c>
      <c r="J988">
        <v>0</v>
      </c>
      <c r="K988">
        <v>0</v>
      </c>
      <c r="L988">
        <v>0</v>
      </c>
      <c r="M988">
        <v>2</v>
      </c>
      <c r="N988">
        <v>1</v>
      </c>
      <c r="O988">
        <v>0</v>
      </c>
      <c r="Q988">
        <v>57.5</v>
      </c>
    </row>
    <row r="989" spans="1:17">
      <c r="A989" t="s">
        <v>1035</v>
      </c>
      <c r="B989" s="8">
        <v>45766</v>
      </c>
      <c r="C989" t="s">
        <v>2</v>
      </c>
      <c r="D989" t="s">
        <v>39</v>
      </c>
      <c r="E989" t="s">
        <v>50</v>
      </c>
      <c r="F989" t="s">
        <v>36</v>
      </c>
      <c r="G989" t="s">
        <v>37</v>
      </c>
      <c r="H989">
        <v>1</v>
      </c>
      <c r="I989">
        <v>0</v>
      </c>
      <c r="J989">
        <v>0</v>
      </c>
      <c r="K989">
        <v>0</v>
      </c>
      <c r="L989">
        <v>0</v>
      </c>
      <c r="M989">
        <v>0</v>
      </c>
      <c r="N989">
        <v>0</v>
      </c>
      <c r="O989">
        <v>0</v>
      </c>
      <c r="Q989">
        <v>64.2</v>
      </c>
    </row>
    <row r="990" spans="1:17">
      <c r="A990" t="s">
        <v>1036</v>
      </c>
      <c r="B990" s="8">
        <v>45758</v>
      </c>
      <c r="C990" t="s">
        <v>2</v>
      </c>
      <c r="D990" t="s">
        <v>39</v>
      </c>
      <c r="E990" t="s">
        <v>35</v>
      </c>
      <c r="F990" t="s">
        <v>41</v>
      </c>
      <c r="G990" t="s">
        <v>42</v>
      </c>
      <c r="H990">
        <v>0</v>
      </c>
      <c r="I990">
        <v>0</v>
      </c>
      <c r="J990">
        <v>0</v>
      </c>
      <c r="K990">
        <v>0</v>
      </c>
      <c r="L990">
        <v>0</v>
      </c>
      <c r="M990">
        <v>0</v>
      </c>
      <c r="N990">
        <v>0</v>
      </c>
      <c r="O990">
        <v>0</v>
      </c>
      <c r="Q990">
        <v>60</v>
      </c>
    </row>
    <row r="991" spans="1:17">
      <c r="A991" t="s">
        <v>1037</v>
      </c>
      <c r="B991" s="8">
        <v>45757</v>
      </c>
      <c r="C991" t="s">
        <v>2</v>
      </c>
      <c r="D991" t="s">
        <v>44</v>
      </c>
      <c r="E991" t="s">
        <v>40</v>
      </c>
      <c r="F991" t="s">
        <v>41</v>
      </c>
      <c r="G991" t="s">
        <v>37</v>
      </c>
      <c r="H991">
        <v>1</v>
      </c>
      <c r="I991">
        <v>0</v>
      </c>
      <c r="J991">
        <v>0</v>
      </c>
      <c r="K991">
        <v>0</v>
      </c>
      <c r="L991">
        <v>0</v>
      </c>
      <c r="M991">
        <v>1</v>
      </c>
      <c r="N991">
        <v>1</v>
      </c>
      <c r="O991">
        <v>0</v>
      </c>
      <c r="Q991">
        <v>43.7</v>
      </c>
    </row>
    <row r="992" spans="1:17">
      <c r="A992" t="s">
        <v>1038</v>
      </c>
      <c r="B992" s="8">
        <v>45670</v>
      </c>
      <c r="C992" t="s">
        <v>2</v>
      </c>
      <c r="D992" t="s">
        <v>39</v>
      </c>
      <c r="E992" t="s">
        <v>35</v>
      </c>
      <c r="F992" t="s">
        <v>57</v>
      </c>
      <c r="G992" t="s">
        <v>42</v>
      </c>
      <c r="H992">
        <v>1</v>
      </c>
      <c r="I992">
        <v>0</v>
      </c>
      <c r="J992">
        <v>0</v>
      </c>
      <c r="K992">
        <v>0</v>
      </c>
      <c r="L992">
        <v>0</v>
      </c>
      <c r="M992">
        <v>0</v>
      </c>
      <c r="N992">
        <v>0</v>
      </c>
      <c r="O992">
        <v>0</v>
      </c>
      <c r="Q992">
        <v>64.900000000000006</v>
      </c>
    </row>
    <row r="993" spans="1:17">
      <c r="A993" t="s">
        <v>1039</v>
      </c>
      <c r="B993" s="8">
        <v>45744</v>
      </c>
      <c r="C993" t="s">
        <v>2</v>
      </c>
      <c r="D993" t="s">
        <v>48</v>
      </c>
      <c r="E993" t="s">
        <v>35</v>
      </c>
      <c r="F993" t="s">
        <v>41</v>
      </c>
      <c r="G993" t="s">
        <v>42</v>
      </c>
      <c r="H993">
        <v>1</v>
      </c>
      <c r="I993">
        <v>1</v>
      </c>
      <c r="J993">
        <v>0</v>
      </c>
      <c r="K993">
        <v>0</v>
      </c>
      <c r="L993">
        <v>0</v>
      </c>
      <c r="M993">
        <v>0</v>
      </c>
      <c r="N993">
        <v>0</v>
      </c>
      <c r="O993">
        <v>0</v>
      </c>
      <c r="Q993">
        <v>45.5</v>
      </c>
    </row>
    <row r="994" spans="1:17">
      <c r="A994" t="s">
        <v>1040</v>
      </c>
      <c r="B994" s="8">
        <v>45686</v>
      </c>
      <c r="C994" t="s">
        <v>2</v>
      </c>
      <c r="D994" t="s">
        <v>44</v>
      </c>
      <c r="E994" t="s">
        <v>40</v>
      </c>
      <c r="F994" t="s">
        <v>45</v>
      </c>
      <c r="G994" t="s">
        <v>42</v>
      </c>
      <c r="H994">
        <v>1</v>
      </c>
      <c r="I994">
        <v>1</v>
      </c>
      <c r="J994">
        <v>1</v>
      </c>
      <c r="K994">
        <v>1</v>
      </c>
      <c r="L994">
        <v>1772.97</v>
      </c>
      <c r="M994">
        <v>0</v>
      </c>
      <c r="N994">
        <v>0</v>
      </c>
      <c r="O994">
        <v>0</v>
      </c>
      <c r="P994">
        <v>8</v>
      </c>
      <c r="Q994">
        <v>61.2</v>
      </c>
    </row>
    <row r="995" spans="1:17">
      <c r="A995" t="s">
        <v>1041</v>
      </c>
      <c r="B995" s="8">
        <v>45743</v>
      </c>
      <c r="C995" t="s">
        <v>2</v>
      </c>
      <c r="D995" t="s">
        <v>48</v>
      </c>
      <c r="E995" t="s">
        <v>40</v>
      </c>
      <c r="F995" t="s">
        <v>55</v>
      </c>
      <c r="G995" t="s">
        <v>42</v>
      </c>
      <c r="H995">
        <v>0</v>
      </c>
      <c r="I995">
        <v>0</v>
      </c>
      <c r="J995">
        <v>0</v>
      </c>
      <c r="K995">
        <v>0</v>
      </c>
      <c r="L995">
        <v>0</v>
      </c>
      <c r="M995">
        <v>0</v>
      </c>
      <c r="N995">
        <v>0</v>
      </c>
      <c r="O995">
        <v>0</v>
      </c>
      <c r="Q995">
        <v>87.8</v>
      </c>
    </row>
    <row r="996" spans="1:17">
      <c r="A996" t="s">
        <v>1042</v>
      </c>
      <c r="B996" s="8">
        <v>45736</v>
      </c>
      <c r="C996" t="s">
        <v>2</v>
      </c>
      <c r="D996" t="s">
        <v>44</v>
      </c>
      <c r="E996" t="s">
        <v>50</v>
      </c>
      <c r="F996" t="s">
        <v>57</v>
      </c>
      <c r="G996" t="s">
        <v>42</v>
      </c>
      <c r="H996">
        <v>0</v>
      </c>
      <c r="I996">
        <v>0</v>
      </c>
      <c r="J996">
        <v>0</v>
      </c>
      <c r="K996">
        <v>0</v>
      </c>
      <c r="L996">
        <v>0</v>
      </c>
      <c r="M996">
        <v>0</v>
      </c>
      <c r="N996">
        <v>0</v>
      </c>
      <c r="O996">
        <v>0</v>
      </c>
      <c r="Q996">
        <v>86.4</v>
      </c>
    </row>
    <row r="997" spans="1:17">
      <c r="A997" t="s">
        <v>1043</v>
      </c>
      <c r="B997" s="8">
        <v>45666</v>
      </c>
      <c r="C997" t="s">
        <v>2</v>
      </c>
      <c r="D997" t="s">
        <v>34</v>
      </c>
      <c r="E997" t="s">
        <v>40</v>
      </c>
      <c r="F997" t="s">
        <v>45</v>
      </c>
      <c r="G997" t="s">
        <v>37</v>
      </c>
      <c r="H997">
        <v>0</v>
      </c>
      <c r="I997">
        <v>0</v>
      </c>
      <c r="J997">
        <v>0</v>
      </c>
      <c r="K997">
        <v>0</v>
      </c>
      <c r="L997">
        <v>0</v>
      </c>
      <c r="M997">
        <v>1</v>
      </c>
      <c r="N997">
        <v>1</v>
      </c>
      <c r="O997">
        <v>0</v>
      </c>
      <c r="Q997">
        <v>71.400000000000006</v>
      </c>
    </row>
    <row r="998" spans="1:17">
      <c r="A998" t="s">
        <v>1044</v>
      </c>
      <c r="B998" s="8">
        <v>45772</v>
      </c>
      <c r="C998" t="s">
        <v>2</v>
      </c>
      <c r="D998" t="s">
        <v>39</v>
      </c>
      <c r="E998" t="s">
        <v>40</v>
      </c>
      <c r="F998" t="s">
        <v>57</v>
      </c>
      <c r="G998" t="s">
        <v>42</v>
      </c>
      <c r="H998">
        <v>1</v>
      </c>
      <c r="I998">
        <v>1</v>
      </c>
      <c r="J998">
        <v>1</v>
      </c>
      <c r="K998">
        <v>1</v>
      </c>
      <c r="L998">
        <v>218.66</v>
      </c>
      <c r="M998">
        <v>0</v>
      </c>
      <c r="N998">
        <v>0</v>
      </c>
      <c r="O998">
        <v>1</v>
      </c>
      <c r="P998">
        <v>8</v>
      </c>
      <c r="Q998">
        <v>72.2</v>
      </c>
    </row>
    <row r="999" spans="1:17">
      <c r="A999" t="s">
        <v>1045</v>
      </c>
      <c r="B999" s="8">
        <v>45758</v>
      </c>
      <c r="C999" t="s">
        <v>2</v>
      </c>
      <c r="D999" t="s">
        <v>48</v>
      </c>
      <c r="E999" t="s">
        <v>35</v>
      </c>
      <c r="F999" t="s">
        <v>57</v>
      </c>
      <c r="G999" t="s">
        <v>42</v>
      </c>
      <c r="H999">
        <v>1</v>
      </c>
      <c r="I999">
        <v>0</v>
      </c>
      <c r="J999">
        <v>0</v>
      </c>
      <c r="K999">
        <v>0</v>
      </c>
      <c r="L999">
        <v>0</v>
      </c>
      <c r="M999">
        <v>0</v>
      </c>
      <c r="N999">
        <v>0</v>
      </c>
      <c r="O999">
        <v>0</v>
      </c>
      <c r="Q999">
        <v>51.9</v>
      </c>
    </row>
    <row r="1000" spans="1:17">
      <c r="A1000" t="s">
        <v>1046</v>
      </c>
      <c r="B1000" s="8">
        <v>45693</v>
      </c>
      <c r="C1000" t="s">
        <v>2</v>
      </c>
      <c r="D1000" t="s">
        <v>44</v>
      </c>
      <c r="E1000" t="s">
        <v>40</v>
      </c>
      <c r="F1000" t="s">
        <v>57</v>
      </c>
      <c r="G1000" t="s">
        <v>37</v>
      </c>
      <c r="H1000">
        <v>1</v>
      </c>
      <c r="I1000">
        <v>1</v>
      </c>
      <c r="J1000">
        <v>1</v>
      </c>
      <c r="K1000">
        <v>0</v>
      </c>
      <c r="L1000">
        <v>0</v>
      </c>
      <c r="M1000">
        <v>0</v>
      </c>
      <c r="N1000">
        <v>0</v>
      </c>
      <c r="O1000">
        <v>0</v>
      </c>
      <c r="Q1000">
        <v>70.3</v>
      </c>
    </row>
    <row r="1001" spans="1:17">
      <c r="A1001" t="s">
        <v>1047</v>
      </c>
      <c r="B1001" s="8">
        <v>45744</v>
      </c>
      <c r="C1001" t="s">
        <v>2</v>
      </c>
      <c r="D1001" t="s">
        <v>48</v>
      </c>
      <c r="E1001" t="s">
        <v>40</v>
      </c>
      <c r="F1001" t="s">
        <v>57</v>
      </c>
      <c r="G1001" t="s">
        <v>46</v>
      </c>
      <c r="H1001">
        <v>1</v>
      </c>
      <c r="I1001">
        <v>0</v>
      </c>
      <c r="J1001">
        <v>0</v>
      </c>
      <c r="K1001">
        <v>0</v>
      </c>
      <c r="L1001">
        <v>0</v>
      </c>
      <c r="M1001">
        <v>1</v>
      </c>
      <c r="N1001">
        <v>1</v>
      </c>
      <c r="O1001">
        <v>0</v>
      </c>
      <c r="Q1001">
        <v>49.2</v>
      </c>
    </row>
    <row r="1002" spans="1:17">
      <c r="A1002" t="s">
        <v>1048</v>
      </c>
      <c r="B1002" s="8">
        <v>45791</v>
      </c>
      <c r="C1002" t="s">
        <v>2</v>
      </c>
      <c r="D1002" t="s">
        <v>48</v>
      </c>
      <c r="E1002" t="s">
        <v>40</v>
      </c>
      <c r="F1002" t="s">
        <v>55</v>
      </c>
      <c r="G1002" t="s">
        <v>42</v>
      </c>
      <c r="H1002">
        <v>0</v>
      </c>
      <c r="I1002">
        <v>0</v>
      </c>
      <c r="J1002">
        <v>0</v>
      </c>
      <c r="K1002">
        <v>0</v>
      </c>
      <c r="L1002">
        <v>0</v>
      </c>
      <c r="M1002">
        <v>0</v>
      </c>
      <c r="N1002">
        <v>0</v>
      </c>
      <c r="O1002">
        <v>0</v>
      </c>
      <c r="Q1002">
        <v>52.2</v>
      </c>
    </row>
    <row r="1003" spans="1:17">
      <c r="A1003" t="s">
        <v>1049</v>
      </c>
      <c r="B1003" s="8">
        <v>45726</v>
      </c>
      <c r="C1003" t="s">
        <v>2</v>
      </c>
      <c r="D1003" t="s">
        <v>44</v>
      </c>
      <c r="E1003" t="s">
        <v>40</v>
      </c>
      <c r="F1003" t="s">
        <v>45</v>
      </c>
      <c r="G1003" t="s">
        <v>37</v>
      </c>
      <c r="H1003">
        <v>0</v>
      </c>
      <c r="I1003">
        <v>0</v>
      </c>
      <c r="J1003">
        <v>0</v>
      </c>
      <c r="K1003">
        <v>0</v>
      </c>
      <c r="L1003">
        <v>0</v>
      </c>
      <c r="M1003">
        <v>1</v>
      </c>
      <c r="N1003">
        <v>1</v>
      </c>
      <c r="O1003">
        <v>0</v>
      </c>
      <c r="Q1003">
        <v>62.6</v>
      </c>
    </row>
    <row r="1004" spans="1:17">
      <c r="A1004" t="s">
        <v>1050</v>
      </c>
      <c r="B1004" s="8">
        <v>45756</v>
      </c>
      <c r="C1004" t="s">
        <v>2</v>
      </c>
      <c r="D1004" t="s">
        <v>44</v>
      </c>
      <c r="E1004" t="s">
        <v>35</v>
      </c>
      <c r="F1004" t="s">
        <v>45</v>
      </c>
      <c r="G1004" t="s">
        <v>42</v>
      </c>
      <c r="H1004">
        <v>1</v>
      </c>
      <c r="I1004">
        <v>1</v>
      </c>
      <c r="J1004">
        <v>0</v>
      </c>
      <c r="K1004">
        <v>0</v>
      </c>
      <c r="L1004">
        <v>0</v>
      </c>
      <c r="M1004">
        <v>0</v>
      </c>
      <c r="N1004">
        <v>0</v>
      </c>
      <c r="O1004">
        <v>0</v>
      </c>
      <c r="Q1004">
        <v>100</v>
      </c>
    </row>
    <row r="1005" spans="1:17">
      <c r="A1005" t="s">
        <v>1051</v>
      </c>
      <c r="B1005" s="8">
        <v>45701</v>
      </c>
      <c r="C1005" t="s">
        <v>2</v>
      </c>
      <c r="D1005" t="s">
        <v>34</v>
      </c>
      <c r="E1005" t="s">
        <v>40</v>
      </c>
      <c r="F1005" t="s">
        <v>55</v>
      </c>
      <c r="G1005" t="s">
        <v>37</v>
      </c>
      <c r="H1005">
        <v>1</v>
      </c>
      <c r="I1005">
        <v>1</v>
      </c>
      <c r="J1005">
        <v>1</v>
      </c>
      <c r="K1005">
        <v>0</v>
      </c>
      <c r="L1005">
        <v>0</v>
      </c>
      <c r="M1005">
        <v>2</v>
      </c>
      <c r="N1005">
        <v>1</v>
      </c>
      <c r="O1005">
        <v>0</v>
      </c>
      <c r="Q1005">
        <v>45.9</v>
      </c>
    </row>
    <row r="1006" spans="1:17">
      <c r="A1006" t="s">
        <v>1052</v>
      </c>
      <c r="B1006" s="8">
        <v>45780</v>
      </c>
      <c r="C1006" t="s">
        <v>2</v>
      </c>
      <c r="D1006" t="s">
        <v>44</v>
      </c>
      <c r="E1006" t="s">
        <v>40</v>
      </c>
      <c r="F1006" t="s">
        <v>36</v>
      </c>
      <c r="G1006" t="s">
        <v>42</v>
      </c>
      <c r="H1006">
        <v>1</v>
      </c>
      <c r="I1006">
        <v>1</v>
      </c>
      <c r="J1006">
        <v>1</v>
      </c>
      <c r="K1006">
        <v>0</v>
      </c>
      <c r="L1006">
        <v>0</v>
      </c>
      <c r="M1006">
        <v>0</v>
      </c>
      <c r="N1006">
        <v>0</v>
      </c>
      <c r="O1006">
        <v>0</v>
      </c>
      <c r="Q1006">
        <v>80.7</v>
      </c>
    </row>
    <row r="1007" spans="1:17">
      <c r="A1007" t="s">
        <v>1053</v>
      </c>
      <c r="B1007" s="8">
        <v>45763</v>
      </c>
      <c r="C1007" t="s">
        <v>2</v>
      </c>
      <c r="D1007" t="s">
        <v>48</v>
      </c>
      <c r="E1007" t="s">
        <v>35</v>
      </c>
      <c r="F1007" t="s">
        <v>55</v>
      </c>
      <c r="G1007" t="s">
        <v>46</v>
      </c>
      <c r="H1007">
        <v>1</v>
      </c>
      <c r="I1007">
        <v>0</v>
      </c>
      <c r="J1007">
        <v>0</v>
      </c>
      <c r="K1007">
        <v>0</v>
      </c>
      <c r="L1007">
        <v>0</v>
      </c>
      <c r="M1007">
        <v>0</v>
      </c>
      <c r="N1007">
        <v>0</v>
      </c>
      <c r="O1007">
        <v>0</v>
      </c>
      <c r="Q1007">
        <v>51.9</v>
      </c>
    </row>
    <row r="1008" spans="1:17">
      <c r="A1008" t="s">
        <v>1054</v>
      </c>
      <c r="B1008" s="8">
        <v>45777</v>
      </c>
      <c r="C1008" t="s">
        <v>2</v>
      </c>
      <c r="D1008" t="s">
        <v>34</v>
      </c>
      <c r="E1008" t="s">
        <v>40</v>
      </c>
      <c r="F1008" t="s">
        <v>45</v>
      </c>
      <c r="G1008" t="s">
        <v>46</v>
      </c>
      <c r="H1008">
        <v>1</v>
      </c>
      <c r="I1008">
        <v>0</v>
      </c>
      <c r="J1008">
        <v>0</v>
      </c>
      <c r="K1008">
        <v>0</v>
      </c>
      <c r="L1008">
        <v>0</v>
      </c>
      <c r="M1008">
        <v>0</v>
      </c>
      <c r="N1008">
        <v>0</v>
      </c>
      <c r="O1008">
        <v>0</v>
      </c>
      <c r="Q1008">
        <v>68.900000000000006</v>
      </c>
    </row>
    <row r="1009" spans="1:17">
      <c r="A1009" t="s">
        <v>1055</v>
      </c>
      <c r="B1009" s="8">
        <v>45706</v>
      </c>
      <c r="C1009" t="s">
        <v>2</v>
      </c>
      <c r="D1009" t="s">
        <v>39</v>
      </c>
      <c r="E1009" t="s">
        <v>35</v>
      </c>
      <c r="F1009" t="s">
        <v>41</v>
      </c>
      <c r="G1009" t="s">
        <v>42</v>
      </c>
      <c r="H1009">
        <v>1</v>
      </c>
      <c r="I1009">
        <v>0</v>
      </c>
      <c r="J1009">
        <v>0</v>
      </c>
      <c r="K1009">
        <v>0</v>
      </c>
      <c r="L1009">
        <v>0</v>
      </c>
      <c r="M1009">
        <v>0</v>
      </c>
      <c r="N1009">
        <v>0</v>
      </c>
      <c r="O1009">
        <v>0</v>
      </c>
      <c r="Q1009">
        <v>66</v>
      </c>
    </row>
    <row r="1010" spans="1:17">
      <c r="A1010" t="s">
        <v>1056</v>
      </c>
      <c r="B1010" s="8">
        <v>45799</v>
      </c>
      <c r="C1010" t="s">
        <v>2</v>
      </c>
      <c r="D1010" t="s">
        <v>39</v>
      </c>
      <c r="E1010" t="s">
        <v>35</v>
      </c>
      <c r="F1010" t="s">
        <v>55</v>
      </c>
      <c r="G1010" t="s">
        <v>37</v>
      </c>
      <c r="H1010">
        <v>0</v>
      </c>
      <c r="I1010">
        <v>0</v>
      </c>
      <c r="J1010">
        <v>0</v>
      </c>
      <c r="K1010">
        <v>0</v>
      </c>
      <c r="L1010">
        <v>0</v>
      </c>
      <c r="M1010">
        <v>0</v>
      </c>
      <c r="N1010">
        <v>0</v>
      </c>
      <c r="O1010">
        <v>0</v>
      </c>
      <c r="Q1010">
        <v>63.1</v>
      </c>
    </row>
    <row r="1011" spans="1:17">
      <c r="A1011" t="s">
        <v>1057</v>
      </c>
      <c r="B1011" s="8">
        <v>45798</v>
      </c>
      <c r="C1011" t="s">
        <v>2</v>
      </c>
      <c r="D1011" t="s">
        <v>48</v>
      </c>
      <c r="E1011" t="s">
        <v>35</v>
      </c>
      <c r="F1011" t="s">
        <v>41</v>
      </c>
      <c r="G1011" t="s">
        <v>42</v>
      </c>
      <c r="H1011">
        <v>0</v>
      </c>
      <c r="I1011">
        <v>0</v>
      </c>
      <c r="J1011">
        <v>0</v>
      </c>
      <c r="K1011">
        <v>0</v>
      </c>
      <c r="L1011">
        <v>0</v>
      </c>
      <c r="M1011">
        <v>0</v>
      </c>
      <c r="N1011">
        <v>0</v>
      </c>
      <c r="O1011">
        <v>0</v>
      </c>
      <c r="Q1011">
        <v>56</v>
      </c>
    </row>
    <row r="1012" spans="1:17">
      <c r="A1012" t="s">
        <v>1058</v>
      </c>
      <c r="B1012" s="8">
        <v>45757</v>
      </c>
      <c r="C1012" t="s">
        <v>2</v>
      </c>
      <c r="D1012" t="s">
        <v>44</v>
      </c>
      <c r="E1012" t="s">
        <v>35</v>
      </c>
      <c r="F1012" t="s">
        <v>41</v>
      </c>
      <c r="G1012" t="s">
        <v>42</v>
      </c>
      <c r="H1012">
        <v>1</v>
      </c>
      <c r="I1012">
        <v>0</v>
      </c>
      <c r="J1012">
        <v>0</v>
      </c>
      <c r="K1012">
        <v>0</v>
      </c>
      <c r="L1012">
        <v>0</v>
      </c>
      <c r="M1012">
        <v>1</v>
      </c>
      <c r="N1012">
        <v>1</v>
      </c>
      <c r="O1012">
        <v>0</v>
      </c>
      <c r="Q1012">
        <v>65.7</v>
      </c>
    </row>
    <row r="1013" spans="1:17">
      <c r="A1013" t="s">
        <v>1059</v>
      </c>
      <c r="B1013" s="8">
        <v>45664</v>
      </c>
      <c r="C1013" t="s">
        <v>2</v>
      </c>
      <c r="D1013" t="s">
        <v>34</v>
      </c>
      <c r="E1013" t="s">
        <v>35</v>
      </c>
      <c r="F1013" t="s">
        <v>41</v>
      </c>
      <c r="G1013" t="s">
        <v>46</v>
      </c>
      <c r="H1013">
        <v>1</v>
      </c>
      <c r="I1013">
        <v>1</v>
      </c>
      <c r="J1013">
        <v>1</v>
      </c>
      <c r="K1013">
        <v>1</v>
      </c>
      <c r="L1013">
        <v>1938.31</v>
      </c>
      <c r="M1013">
        <v>1</v>
      </c>
      <c r="N1013">
        <v>1</v>
      </c>
      <c r="O1013">
        <v>0</v>
      </c>
      <c r="P1013">
        <v>9</v>
      </c>
      <c r="Q1013">
        <v>60.9</v>
      </c>
    </row>
    <row r="1014" spans="1:17">
      <c r="A1014" t="s">
        <v>1060</v>
      </c>
      <c r="B1014" s="8">
        <v>45691</v>
      </c>
      <c r="C1014" t="s">
        <v>2</v>
      </c>
      <c r="D1014" t="s">
        <v>48</v>
      </c>
      <c r="E1014" t="s">
        <v>35</v>
      </c>
      <c r="F1014" t="s">
        <v>57</v>
      </c>
      <c r="G1014" t="s">
        <v>42</v>
      </c>
      <c r="H1014">
        <v>0</v>
      </c>
      <c r="I1014">
        <v>0</v>
      </c>
      <c r="J1014">
        <v>0</v>
      </c>
      <c r="K1014">
        <v>0</v>
      </c>
      <c r="L1014">
        <v>0</v>
      </c>
      <c r="M1014">
        <v>0</v>
      </c>
      <c r="N1014">
        <v>0</v>
      </c>
      <c r="O1014">
        <v>0</v>
      </c>
      <c r="Q1014">
        <v>45.5</v>
      </c>
    </row>
    <row r="1015" spans="1:17">
      <c r="A1015" t="s">
        <v>1061</v>
      </c>
      <c r="B1015" s="8">
        <v>45795</v>
      </c>
      <c r="C1015" t="s">
        <v>2</v>
      </c>
      <c r="D1015" t="s">
        <v>34</v>
      </c>
      <c r="E1015" t="s">
        <v>40</v>
      </c>
      <c r="F1015" t="s">
        <v>45</v>
      </c>
      <c r="G1015" t="s">
        <v>42</v>
      </c>
      <c r="H1015">
        <v>1</v>
      </c>
      <c r="I1015">
        <v>0</v>
      </c>
      <c r="J1015">
        <v>0</v>
      </c>
      <c r="K1015">
        <v>0</v>
      </c>
      <c r="L1015">
        <v>0</v>
      </c>
      <c r="M1015">
        <v>0</v>
      </c>
      <c r="N1015">
        <v>0</v>
      </c>
      <c r="O1015">
        <v>0</v>
      </c>
      <c r="Q1015">
        <v>50</v>
      </c>
    </row>
    <row r="1016" spans="1:17">
      <c r="A1016" t="s">
        <v>1062</v>
      </c>
      <c r="B1016" s="8">
        <v>45688</v>
      </c>
      <c r="C1016" t="s">
        <v>2</v>
      </c>
      <c r="D1016" t="s">
        <v>34</v>
      </c>
      <c r="E1016" t="s">
        <v>40</v>
      </c>
      <c r="F1016" t="s">
        <v>55</v>
      </c>
      <c r="G1016" t="s">
        <v>42</v>
      </c>
      <c r="H1016">
        <v>1</v>
      </c>
      <c r="I1016">
        <v>0</v>
      </c>
      <c r="J1016">
        <v>0</v>
      </c>
      <c r="K1016">
        <v>0</v>
      </c>
      <c r="L1016">
        <v>0</v>
      </c>
      <c r="M1016">
        <v>0</v>
      </c>
      <c r="N1016">
        <v>0</v>
      </c>
      <c r="O1016">
        <v>0</v>
      </c>
      <c r="Q1016">
        <v>72.099999999999994</v>
      </c>
    </row>
    <row r="1017" spans="1:17">
      <c r="A1017" t="s">
        <v>1063</v>
      </c>
      <c r="B1017" s="8">
        <v>45673</v>
      </c>
      <c r="C1017" t="s">
        <v>2</v>
      </c>
      <c r="D1017" t="s">
        <v>48</v>
      </c>
      <c r="E1017" t="s">
        <v>35</v>
      </c>
      <c r="F1017" t="s">
        <v>41</v>
      </c>
      <c r="G1017" t="s">
        <v>37</v>
      </c>
      <c r="H1017">
        <v>1</v>
      </c>
      <c r="I1017">
        <v>0</v>
      </c>
      <c r="J1017">
        <v>0</v>
      </c>
      <c r="K1017">
        <v>0</v>
      </c>
      <c r="L1017">
        <v>0</v>
      </c>
      <c r="M1017">
        <v>0</v>
      </c>
      <c r="N1017">
        <v>0</v>
      </c>
      <c r="O1017">
        <v>0</v>
      </c>
      <c r="Q1017">
        <v>76.3</v>
      </c>
    </row>
    <row r="1018" spans="1:17">
      <c r="A1018" t="s">
        <v>1064</v>
      </c>
      <c r="B1018" s="8">
        <v>45791</v>
      </c>
      <c r="C1018" t="s">
        <v>2</v>
      </c>
      <c r="D1018" t="s">
        <v>44</v>
      </c>
      <c r="E1018" t="s">
        <v>40</v>
      </c>
      <c r="F1018" t="s">
        <v>45</v>
      </c>
      <c r="G1018" t="s">
        <v>37</v>
      </c>
      <c r="H1018">
        <v>1</v>
      </c>
      <c r="I1018">
        <v>1</v>
      </c>
      <c r="J1018">
        <v>0</v>
      </c>
      <c r="K1018">
        <v>0</v>
      </c>
      <c r="L1018">
        <v>0</v>
      </c>
      <c r="M1018">
        <v>1</v>
      </c>
      <c r="N1018">
        <v>1</v>
      </c>
      <c r="O1018">
        <v>0</v>
      </c>
      <c r="Q1018">
        <v>54.8</v>
      </c>
    </row>
    <row r="1019" spans="1:17">
      <c r="A1019" t="s">
        <v>1065</v>
      </c>
      <c r="B1019" s="8">
        <v>45748</v>
      </c>
      <c r="C1019" t="s">
        <v>2</v>
      </c>
      <c r="D1019" t="s">
        <v>48</v>
      </c>
      <c r="E1019" t="s">
        <v>40</v>
      </c>
      <c r="G1019" t="s">
        <v>37</v>
      </c>
      <c r="H1019">
        <v>1</v>
      </c>
      <c r="I1019">
        <v>0</v>
      </c>
      <c r="J1019">
        <v>0</v>
      </c>
      <c r="K1019">
        <v>0</v>
      </c>
      <c r="L1019">
        <v>0</v>
      </c>
      <c r="M1019">
        <v>0</v>
      </c>
      <c r="N1019">
        <v>0</v>
      </c>
      <c r="O1019">
        <v>0</v>
      </c>
      <c r="Q1019">
        <v>63.6</v>
      </c>
    </row>
    <row r="1020" spans="1:17">
      <c r="A1020" t="s">
        <v>1066</v>
      </c>
      <c r="B1020" s="8">
        <v>45770</v>
      </c>
      <c r="C1020" t="s">
        <v>2</v>
      </c>
      <c r="D1020" t="s">
        <v>48</v>
      </c>
      <c r="E1020" t="s">
        <v>40</v>
      </c>
      <c r="F1020" t="s">
        <v>41</v>
      </c>
      <c r="G1020" t="s">
        <v>42</v>
      </c>
      <c r="H1020">
        <v>1</v>
      </c>
      <c r="I1020">
        <v>0</v>
      </c>
      <c r="J1020">
        <v>0</v>
      </c>
      <c r="K1020">
        <v>0</v>
      </c>
      <c r="L1020">
        <v>0</v>
      </c>
      <c r="M1020">
        <v>0</v>
      </c>
      <c r="N1020">
        <v>0</v>
      </c>
      <c r="O1020">
        <v>0</v>
      </c>
      <c r="Q1020">
        <v>68.8</v>
      </c>
    </row>
    <row r="1021" spans="1:17">
      <c r="A1021" t="s">
        <v>1067</v>
      </c>
      <c r="B1021" s="8">
        <v>45718</v>
      </c>
      <c r="C1021" t="s">
        <v>2</v>
      </c>
      <c r="D1021" t="s">
        <v>48</v>
      </c>
      <c r="E1021" t="s">
        <v>35</v>
      </c>
      <c r="F1021" t="s">
        <v>45</v>
      </c>
      <c r="G1021" t="s">
        <v>37</v>
      </c>
      <c r="H1021">
        <v>1</v>
      </c>
      <c r="I1021">
        <v>0</v>
      </c>
      <c r="J1021">
        <v>0</v>
      </c>
      <c r="K1021">
        <v>0</v>
      </c>
      <c r="L1021">
        <v>0</v>
      </c>
      <c r="M1021">
        <v>0</v>
      </c>
      <c r="N1021">
        <v>0</v>
      </c>
      <c r="O1021">
        <v>0</v>
      </c>
      <c r="Q1021">
        <v>63.2</v>
      </c>
    </row>
    <row r="1022" spans="1:17">
      <c r="A1022" t="s">
        <v>1068</v>
      </c>
      <c r="B1022" s="8">
        <v>45659</v>
      </c>
      <c r="C1022" t="s">
        <v>2</v>
      </c>
      <c r="D1022" t="s">
        <v>44</v>
      </c>
      <c r="E1022" t="s">
        <v>40</v>
      </c>
      <c r="F1022" t="s">
        <v>45</v>
      </c>
      <c r="G1022" t="s">
        <v>37</v>
      </c>
      <c r="H1022">
        <v>0</v>
      </c>
      <c r="I1022">
        <v>0</v>
      </c>
      <c r="J1022">
        <v>0</v>
      </c>
      <c r="K1022">
        <v>0</v>
      </c>
      <c r="L1022">
        <v>0</v>
      </c>
      <c r="M1022">
        <v>0</v>
      </c>
      <c r="N1022">
        <v>0</v>
      </c>
      <c r="O1022">
        <v>0</v>
      </c>
      <c r="Q1022">
        <v>45</v>
      </c>
    </row>
    <row r="1023" spans="1:17">
      <c r="A1023" t="s">
        <v>1069</v>
      </c>
      <c r="B1023" s="8">
        <v>45781</v>
      </c>
      <c r="C1023" t="s">
        <v>2</v>
      </c>
      <c r="D1023" t="s">
        <v>48</v>
      </c>
      <c r="E1023" t="s">
        <v>40</v>
      </c>
      <c r="F1023" t="s">
        <v>41</v>
      </c>
      <c r="G1023" t="s">
        <v>42</v>
      </c>
      <c r="H1023">
        <v>1</v>
      </c>
      <c r="I1023">
        <v>0</v>
      </c>
      <c r="J1023">
        <v>0</v>
      </c>
      <c r="K1023">
        <v>0</v>
      </c>
      <c r="L1023">
        <v>0</v>
      </c>
      <c r="M1023">
        <v>0</v>
      </c>
      <c r="N1023">
        <v>0</v>
      </c>
      <c r="O1023">
        <v>0</v>
      </c>
      <c r="Q1023">
        <v>77.400000000000006</v>
      </c>
    </row>
    <row r="1024" spans="1:17">
      <c r="A1024" t="s">
        <v>1070</v>
      </c>
      <c r="B1024" s="8">
        <v>45673</v>
      </c>
      <c r="C1024" t="s">
        <v>2</v>
      </c>
      <c r="D1024" t="s">
        <v>44</v>
      </c>
      <c r="E1024" t="s">
        <v>35</v>
      </c>
      <c r="F1024" t="s">
        <v>45</v>
      </c>
      <c r="G1024" t="s">
        <v>37</v>
      </c>
      <c r="H1024">
        <v>0</v>
      </c>
      <c r="I1024">
        <v>0</v>
      </c>
      <c r="J1024">
        <v>0</v>
      </c>
      <c r="K1024">
        <v>0</v>
      </c>
      <c r="L1024">
        <v>0</v>
      </c>
      <c r="M1024">
        <v>0</v>
      </c>
      <c r="N1024">
        <v>0</v>
      </c>
      <c r="O1024">
        <v>0</v>
      </c>
      <c r="Q1024">
        <v>53.1</v>
      </c>
    </row>
    <row r="1025" spans="1:17">
      <c r="A1025" t="s">
        <v>1071</v>
      </c>
      <c r="B1025" s="8">
        <v>45699</v>
      </c>
      <c r="C1025" t="s">
        <v>2</v>
      </c>
      <c r="D1025" t="s">
        <v>39</v>
      </c>
      <c r="E1025" t="s">
        <v>50</v>
      </c>
      <c r="F1025" t="s">
        <v>45</v>
      </c>
      <c r="G1025" t="s">
        <v>46</v>
      </c>
      <c r="H1025">
        <v>0</v>
      </c>
      <c r="I1025">
        <v>0</v>
      </c>
      <c r="J1025">
        <v>0</v>
      </c>
      <c r="K1025">
        <v>0</v>
      </c>
      <c r="L1025">
        <v>0</v>
      </c>
      <c r="M1025">
        <v>0</v>
      </c>
      <c r="N1025">
        <v>0</v>
      </c>
      <c r="O1025">
        <v>0</v>
      </c>
      <c r="Q1025">
        <v>74</v>
      </c>
    </row>
    <row r="1026" spans="1:17">
      <c r="A1026" t="s">
        <v>1072</v>
      </c>
      <c r="B1026" s="8">
        <v>45750</v>
      </c>
      <c r="C1026" t="s">
        <v>2</v>
      </c>
      <c r="D1026" t="s">
        <v>34</v>
      </c>
      <c r="E1026" t="s">
        <v>40</v>
      </c>
      <c r="F1026" t="s">
        <v>57</v>
      </c>
      <c r="G1026" t="s">
        <v>46</v>
      </c>
      <c r="H1026">
        <v>1</v>
      </c>
      <c r="I1026">
        <v>1</v>
      </c>
      <c r="J1026">
        <v>1</v>
      </c>
      <c r="K1026">
        <v>1</v>
      </c>
      <c r="L1026">
        <v>1906.23</v>
      </c>
      <c r="M1026">
        <v>0</v>
      </c>
      <c r="N1026">
        <v>0</v>
      </c>
      <c r="O1026">
        <v>0</v>
      </c>
      <c r="P1026">
        <v>4</v>
      </c>
      <c r="Q1026">
        <v>84.6</v>
      </c>
    </row>
    <row r="1027" spans="1:17">
      <c r="A1027" t="s">
        <v>1073</v>
      </c>
      <c r="B1027" s="8">
        <v>45742</v>
      </c>
      <c r="C1027" t="s">
        <v>2</v>
      </c>
      <c r="D1027" t="s">
        <v>44</v>
      </c>
      <c r="E1027" t="s">
        <v>40</v>
      </c>
      <c r="F1027" t="s">
        <v>55</v>
      </c>
      <c r="G1027" t="s">
        <v>42</v>
      </c>
      <c r="H1027">
        <v>1</v>
      </c>
      <c r="I1027">
        <v>0</v>
      </c>
      <c r="J1027">
        <v>0</v>
      </c>
      <c r="K1027">
        <v>0</v>
      </c>
      <c r="L1027">
        <v>0</v>
      </c>
      <c r="M1027">
        <v>0</v>
      </c>
      <c r="N1027">
        <v>0</v>
      </c>
      <c r="O1027">
        <v>0</v>
      </c>
      <c r="Q1027">
        <v>57</v>
      </c>
    </row>
    <row r="1028" spans="1:17">
      <c r="A1028" t="s">
        <v>1074</v>
      </c>
      <c r="B1028" s="8">
        <v>45793</v>
      </c>
      <c r="C1028" t="s">
        <v>2</v>
      </c>
      <c r="D1028" t="s">
        <v>48</v>
      </c>
      <c r="E1028" t="s">
        <v>40</v>
      </c>
      <c r="F1028" t="s">
        <v>36</v>
      </c>
      <c r="G1028" t="s">
        <v>46</v>
      </c>
      <c r="H1028">
        <v>0</v>
      </c>
      <c r="I1028">
        <v>0</v>
      </c>
      <c r="J1028">
        <v>0</v>
      </c>
      <c r="K1028">
        <v>0</v>
      </c>
      <c r="L1028">
        <v>0</v>
      </c>
      <c r="M1028">
        <v>0</v>
      </c>
      <c r="N1028">
        <v>0</v>
      </c>
      <c r="O1028">
        <v>0</v>
      </c>
      <c r="Q1028">
        <v>46.3</v>
      </c>
    </row>
    <row r="1029" spans="1:17">
      <c r="A1029" t="s">
        <v>1075</v>
      </c>
      <c r="B1029" s="8">
        <v>45767</v>
      </c>
      <c r="C1029" t="s">
        <v>2</v>
      </c>
      <c r="D1029" t="s">
        <v>39</v>
      </c>
      <c r="E1029" t="s">
        <v>40</v>
      </c>
      <c r="F1029" t="s">
        <v>57</v>
      </c>
      <c r="G1029" t="s">
        <v>42</v>
      </c>
      <c r="H1029">
        <v>0</v>
      </c>
      <c r="I1029">
        <v>0</v>
      </c>
      <c r="J1029">
        <v>0</v>
      </c>
      <c r="K1029">
        <v>0</v>
      </c>
      <c r="L1029">
        <v>0</v>
      </c>
      <c r="M1029">
        <v>1</v>
      </c>
      <c r="N1029">
        <v>1</v>
      </c>
      <c r="O1029">
        <v>0</v>
      </c>
      <c r="Q1029">
        <v>64.400000000000006</v>
      </c>
    </row>
    <row r="1030" spans="1:17">
      <c r="A1030" t="s">
        <v>1076</v>
      </c>
      <c r="B1030" s="8">
        <v>45762</v>
      </c>
      <c r="C1030" t="s">
        <v>2</v>
      </c>
      <c r="D1030" t="s">
        <v>39</v>
      </c>
      <c r="E1030" t="s">
        <v>40</v>
      </c>
      <c r="F1030" t="s">
        <v>45</v>
      </c>
      <c r="G1030" t="s">
        <v>42</v>
      </c>
      <c r="H1030">
        <v>1</v>
      </c>
      <c r="I1030">
        <v>0</v>
      </c>
      <c r="J1030">
        <v>0</v>
      </c>
      <c r="K1030">
        <v>0</v>
      </c>
      <c r="L1030">
        <v>0</v>
      </c>
      <c r="M1030">
        <v>2</v>
      </c>
      <c r="N1030">
        <v>1</v>
      </c>
      <c r="O1030">
        <v>0</v>
      </c>
      <c r="Q1030">
        <v>61.9</v>
      </c>
    </row>
    <row r="1031" spans="1:17">
      <c r="A1031" t="s">
        <v>1077</v>
      </c>
      <c r="B1031" s="8">
        <v>45681</v>
      </c>
      <c r="C1031" t="s">
        <v>2</v>
      </c>
      <c r="D1031" t="s">
        <v>34</v>
      </c>
      <c r="E1031" t="s">
        <v>40</v>
      </c>
      <c r="F1031" t="s">
        <v>41</v>
      </c>
      <c r="G1031" t="s">
        <v>46</v>
      </c>
      <c r="H1031">
        <v>1</v>
      </c>
      <c r="I1031">
        <v>1</v>
      </c>
      <c r="J1031">
        <v>1</v>
      </c>
      <c r="K1031">
        <v>0</v>
      </c>
      <c r="L1031">
        <v>0</v>
      </c>
      <c r="M1031">
        <v>0</v>
      </c>
      <c r="N1031">
        <v>0</v>
      </c>
      <c r="O1031">
        <v>0</v>
      </c>
      <c r="Q1031">
        <v>93.7</v>
      </c>
    </row>
    <row r="1032" spans="1:17">
      <c r="A1032" t="s">
        <v>1078</v>
      </c>
      <c r="B1032" s="8">
        <v>45758</v>
      </c>
      <c r="C1032" t="s">
        <v>2</v>
      </c>
      <c r="D1032" t="s">
        <v>48</v>
      </c>
      <c r="E1032" t="s">
        <v>40</v>
      </c>
      <c r="F1032" t="s">
        <v>55</v>
      </c>
      <c r="G1032" t="s">
        <v>37</v>
      </c>
      <c r="H1032">
        <v>0</v>
      </c>
      <c r="I1032">
        <v>0</v>
      </c>
      <c r="J1032">
        <v>0</v>
      </c>
      <c r="K1032">
        <v>0</v>
      </c>
      <c r="L1032">
        <v>0</v>
      </c>
      <c r="M1032">
        <v>0</v>
      </c>
      <c r="N1032">
        <v>0</v>
      </c>
      <c r="O1032">
        <v>0</v>
      </c>
      <c r="Q1032">
        <v>61.6</v>
      </c>
    </row>
    <row r="1033" spans="1:17">
      <c r="A1033" t="s">
        <v>1079</v>
      </c>
      <c r="B1033" s="8">
        <v>45796</v>
      </c>
      <c r="C1033" t="s">
        <v>2</v>
      </c>
      <c r="D1033" t="s">
        <v>34</v>
      </c>
      <c r="E1033" t="s">
        <v>40</v>
      </c>
      <c r="F1033" t="s">
        <v>45</v>
      </c>
      <c r="G1033" t="s">
        <v>42</v>
      </c>
      <c r="H1033">
        <v>1</v>
      </c>
      <c r="I1033">
        <v>0</v>
      </c>
      <c r="J1033">
        <v>0</v>
      </c>
      <c r="K1033">
        <v>0</v>
      </c>
      <c r="L1033">
        <v>0</v>
      </c>
      <c r="M1033">
        <v>0</v>
      </c>
      <c r="N1033">
        <v>0</v>
      </c>
      <c r="O1033">
        <v>0</v>
      </c>
      <c r="Q1033">
        <v>72.2</v>
      </c>
    </row>
    <row r="1034" spans="1:17">
      <c r="A1034" t="s">
        <v>1080</v>
      </c>
      <c r="B1034" s="8">
        <v>45671</v>
      </c>
      <c r="C1034" t="s">
        <v>2</v>
      </c>
      <c r="D1034" t="s">
        <v>34</v>
      </c>
      <c r="E1034" t="s">
        <v>40</v>
      </c>
      <c r="F1034" t="s">
        <v>41</v>
      </c>
      <c r="G1034" t="s">
        <v>37</v>
      </c>
      <c r="H1034">
        <v>0</v>
      </c>
      <c r="I1034">
        <v>0</v>
      </c>
      <c r="J1034">
        <v>0</v>
      </c>
      <c r="K1034">
        <v>0</v>
      </c>
      <c r="L1034">
        <v>0</v>
      </c>
      <c r="M1034">
        <v>0</v>
      </c>
      <c r="N1034">
        <v>0</v>
      </c>
      <c r="O1034">
        <v>0</v>
      </c>
      <c r="Q1034">
        <v>69.5</v>
      </c>
    </row>
    <row r="1035" spans="1:17">
      <c r="A1035" t="s">
        <v>1081</v>
      </c>
      <c r="B1035" s="8">
        <v>45716</v>
      </c>
      <c r="C1035" t="s">
        <v>2</v>
      </c>
      <c r="D1035" t="s">
        <v>44</v>
      </c>
      <c r="E1035" t="s">
        <v>35</v>
      </c>
      <c r="F1035" t="s">
        <v>41</v>
      </c>
      <c r="G1035" t="s">
        <v>37</v>
      </c>
      <c r="H1035">
        <v>0</v>
      </c>
      <c r="I1035">
        <v>0</v>
      </c>
      <c r="J1035">
        <v>0</v>
      </c>
      <c r="K1035">
        <v>0</v>
      </c>
      <c r="L1035">
        <v>0</v>
      </c>
      <c r="M1035">
        <v>0</v>
      </c>
      <c r="N1035">
        <v>0</v>
      </c>
      <c r="O1035">
        <v>0</v>
      </c>
      <c r="Q1035">
        <v>59.7</v>
      </c>
    </row>
    <row r="1036" spans="1:17">
      <c r="A1036" t="s">
        <v>1082</v>
      </c>
      <c r="B1036" s="8">
        <v>45795</v>
      </c>
      <c r="C1036" t="s">
        <v>2</v>
      </c>
      <c r="D1036" t="s">
        <v>44</v>
      </c>
      <c r="E1036" t="s">
        <v>50</v>
      </c>
      <c r="F1036" t="s">
        <v>45</v>
      </c>
      <c r="G1036" t="s">
        <v>37</v>
      </c>
      <c r="H1036">
        <v>1</v>
      </c>
      <c r="I1036">
        <v>0</v>
      </c>
      <c r="J1036">
        <v>0</v>
      </c>
      <c r="K1036">
        <v>0</v>
      </c>
      <c r="L1036">
        <v>0</v>
      </c>
      <c r="M1036">
        <v>0</v>
      </c>
      <c r="N1036">
        <v>0</v>
      </c>
      <c r="O1036">
        <v>0</v>
      </c>
      <c r="Q1036">
        <v>73.900000000000006</v>
      </c>
    </row>
    <row r="1037" spans="1:17">
      <c r="A1037" t="s">
        <v>1083</v>
      </c>
      <c r="B1037" s="8">
        <v>45661</v>
      </c>
      <c r="C1037" t="s">
        <v>2</v>
      </c>
      <c r="D1037" t="s">
        <v>34</v>
      </c>
      <c r="E1037" t="s">
        <v>40</v>
      </c>
      <c r="F1037" t="s">
        <v>57</v>
      </c>
      <c r="G1037" t="s">
        <v>42</v>
      </c>
      <c r="H1037">
        <v>0</v>
      </c>
      <c r="I1037">
        <v>0</v>
      </c>
      <c r="J1037">
        <v>0</v>
      </c>
      <c r="K1037">
        <v>0</v>
      </c>
      <c r="L1037">
        <v>0</v>
      </c>
      <c r="M1037">
        <v>0</v>
      </c>
      <c r="N1037">
        <v>0</v>
      </c>
      <c r="O1037">
        <v>0</v>
      </c>
      <c r="Q1037">
        <v>41.5</v>
      </c>
    </row>
    <row r="1038" spans="1:17">
      <c r="A1038" t="s">
        <v>1084</v>
      </c>
      <c r="B1038" s="8">
        <v>45673</v>
      </c>
      <c r="C1038" t="s">
        <v>2</v>
      </c>
      <c r="D1038" t="s">
        <v>39</v>
      </c>
      <c r="E1038" t="s">
        <v>40</v>
      </c>
      <c r="F1038" t="s">
        <v>57</v>
      </c>
      <c r="G1038" t="s">
        <v>46</v>
      </c>
      <c r="H1038">
        <v>1</v>
      </c>
      <c r="I1038">
        <v>0</v>
      </c>
      <c r="J1038">
        <v>0</v>
      </c>
      <c r="K1038">
        <v>0</v>
      </c>
      <c r="L1038">
        <v>0</v>
      </c>
      <c r="M1038">
        <v>0</v>
      </c>
      <c r="N1038">
        <v>0</v>
      </c>
      <c r="O1038">
        <v>0</v>
      </c>
      <c r="Q1038">
        <v>82.8</v>
      </c>
    </row>
    <row r="1039" spans="1:17">
      <c r="A1039" t="s">
        <v>1085</v>
      </c>
      <c r="B1039" s="8">
        <v>45730</v>
      </c>
      <c r="C1039" t="s">
        <v>2</v>
      </c>
      <c r="D1039" t="s">
        <v>39</v>
      </c>
      <c r="E1039" t="s">
        <v>40</v>
      </c>
      <c r="F1039" t="s">
        <v>57</v>
      </c>
      <c r="G1039" t="s">
        <v>46</v>
      </c>
      <c r="H1039">
        <v>1</v>
      </c>
      <c r="I1039">
        <v>0</v>
      </c>
      <c r="J1039">
        <v>0</v>
      </c>
      <c r="K1039">
        <v>0</v>
      </c>
      <c r="L1039">
        <v>0</v>
      </c>
      <c r="M1039">
        <v>3</v>
      </c>
      <c r="N1039">
        <v>1</v>
      </c>
      <c r="O1039">
        <v>0</v>
      </c>
      <c r="Q1039">
        <v>70.2</v>
      </c>
    </row>
    <row r="1040" spans="1:17">
      <c r="A1040" t="s">
        <v>1086</v>
      </c>
      <c r="B1040" s="8">
        <v>45680</v>
      </c>
      <c r="C1040" t="s">
        <v>2</v>
      </c>
      <c r="D1040" t="s">
        <v>44</v>
      </c>
      <c r="E1040" t="s">
        <v>40</v>
      </c>
      <c r="F1040" t="s">
        <v>45</v>
      </c>
      <c r="G1040" t="s">
        <v>37</v>
      </c>
      <c r="H1040">
        <v>1</v>
      </c>
      <c r="I1040">
        <v>0</v>
      </c>
      <c r="J1040">
        <v>0</v>
      </c>
      <c r="K1040">
        <v>0</v>
      </c>
      <c r="L1040">
        <v>0</v>
      </c>
      <c r="M1040">
        <v>1</v>
      </c>
      <c r="N1040">
        <v>1</v>
      </c>
      <c r="O1040">
        <v>0</v>
      </c>
      <c r="Q1040">
        <v>69.400000000000006</v>
      </c>
    </row>
    <row r="1041" spans="1:17">
      <c r="A1041" t="s">
        <v>1087</v>
      </c>
      <c r="B1041" s="8">
        <v>45691</v>
      </c>
      <c r="C1041" t="s">
        <v>2</v>
      </c>
      <c r="D1041" t="s">
        <v>34</v>
      </c>
      <c r="E1041" t="s">
        <v>35</v>
      </c>
      <c r="F1041" t="s">
        <v>41</v>
      </c>
      <c r="G1041" t="s">
        <v>37</v>
      </c>
      <c r="H1041">
        <v>1</v>
      </c>
      <c r="I1041">
        <v>0</v>
      </c>
      <c r="J1041">
        <v>0</v>
      </c>
      <c r="K1041">
        <v>0</v>
      </c>
      <c r="L1041">
        <v>0</v>
      </c>
      <c r="M1041">
        <v>0</v>
      </c>
      <c r="N1041">
        <v>0</v>
      </c>
      <c r="O1041">
        <v>0</v>
      </c>
      <c r="Q1041">
        <v>60.4</v>
      </c>
    </row>
    <row r="1042" spans="1:17">
      <c r="A1042" t="s">
        <v>1088</v>
      </c>
      <c r="B1042" s="8">
        <v>45793</v>
      </c>
      <c r="C1042" t="s">
        <v>2</v>
      </c>
      <c r="D1042" t="s">
        <v>44</v>
      </c>
      <c r="E1042" t="s">
        <v>40</v>
      </c>
      <c r="F1042" t="s">
        <v>55</v>
      </c>
      <c r="G1042" t="s">
        <v>42</v>
      </c>
      <c r="H1042">
        <v>1</v>
      </c>
      <c r="I1042">
        <v>0</v>
      </c>
      <c r="J1042">
        <v>0</v>
      </c>
      <c r="K1042">
        <v>0</v>
      </c>
      <c r="L1042">
        <v>0</v>
      </c>
      <c r="M1042">
        <v>0</v>
      </c>
      <c r="N1042">
        <v>0</v>
      </c>
      <c r="O1042">
        <v>0</v>
      </c>
      <c r="Q1042">
        <v>45.7</v>
      </c>
    </row>
    <row r="1043" spans="1:17">
      <c r="A1043" t="s">
        <v>1089</v>
      </c>
      <c r="B1043" s="8">
        <v>45668</v>
      </c>
      <c r="C1043" t="s">
        <v>2</v>
      </c>
      <c r="D1043" t="s">
        <v>39</v>
      </c>
      <c r="E1043" t="s">
        <v>40</v>
      </c>
      <c r="F1043" t="s">
        <v>41</v>
      </c>
      <c r="G1043" t="s">
        <v>37</v>
      </c>
      <c r="H1043">
        <v>0</v>
      </c>
      <c r="I1043">
        <v>0</v>
      </c>
      <c r="J1043">
        <v>0</v>
      </c>
      <c r="K1043">
        <v>0</v>
      </c>
      <c r="L1043">
        <v>0</v>
      </c>
      <c r="M1043">
        <v>1</v>
      </c>
      <c r="N1043">
        <v>1</v>
      </c>
      <c r="O1043">
        <v>0</v>
      </c>
      <c r="Q1043">
        <v>42.2</v>
      </c>
    </row>
    <row r="1044" spans="1:17">
      <c r="A1044" t="s">
        <v>1090</v>
      </c>
      <c r="B1044" s="8">
        <v>45802</v>
      </c>
      <c r="C1044" t="s">
        <v>2</v>
      </c>
      <c r="D1044" t="s">
        <v>34</v>
      </c>
      <c r="E1044" t="s">
        <v>35</v>
      </c>
      <c r="F1044" t="s">
        <v>41</v>
      </c>
      <c r="G1044" t="s">
        <v>42</v>
      </c>
      <c r="H1044">
        <v>0</v>
      </c>
      <c r="I1044">
        <v>0</v>
      </c>
      <c r="J1044">
        <v>0</v>
      </c>
      <c r="K1044">
        <v>0</v>
      </c>
      <c r="L1044">
        <v>0</v>
      </c>
      <c r="M1044">
        <v>2</v>
      </c>
      <c r="N1044">
        <v>1</v>
      </c>
      <c r="O1044">
        <v>0</v>
      </c>
      <c r="Q1044">
        <v>61.9</v>
      </c>
    </row>
    <row r="1045" spans="1:17">
      <c r="A1045" t="s">
        <v>1091</v>
      </c>
      <c r="B1045" s="8">
        <v>45785</v>
      </c>
      <c r="C1045" t="s">
        <v>2</v>
      </c>
      <c r="D1045" t="s">
        <v>44</v>
      </c>
      <c r="E1045" t="s">
        <v>40</v>
      </c>
      <c r="F1045" t="s">
        <v>45</v>
      </c>
      <c r="G1045" t="s">
        <v>46</v>
      </c>
      <c r="H1045">
        <v>0</v>
      </c>
      <c r="I1045">
        <v>0</v>
      </c>
      <c r="J1045">
        <v>0</v>
      </c>
      <c r="K1045">
        <v>0</v>
      </c>
      <c r="L1045">
        <v>0</v>
      </c>
      <c r="M1045">
        <v>0</v>
      </c>
      <c r="N1045">
        <v>0</v>
      </c>
      <c r="O1045">
        <v>0</v>
      </c>
      <c r="Q1045">
        <v>44.9</v>
      </c>
    </row>
    <row r="1046" spans="1:17">
      <c r="A1046" t="s">
        <v>1092</v>
      </c>
      <c r="B1046" s="8">
        <v>45714</v>
      </c>
      <c r="C1046" t="s">
        <v>2</v>
      </c>
      <c r="D1046" t="s">
        <v>44</v>
      </c>
      <c r="E1046" t="s">
        <v>35</v>
      </c>
      <c r="G1046" t="s">
        <v>37</v>
      </c>
      <c r="H1046">
        <v>1</v>
      </c>
      <c r="I1046">
        <v>0</v>
      </c>
      <c r="J1046">
        <v>0</v>
      </c>
      <c r="K1046">
        <v>0</v>
      </c>
      <c r="L1046">
        <v>0</v>
      </c>
      <c r="M1046">
        <v>0</v>
      </c>
      <c r="N1046">
        <v>0</v>
      </c>
      <c r="O1046">
        <v>0</v>
      </c>
      <c r="Q1046">
        <v>68</v>
      </c>
    </row>
    <row r="1047" spans="1:17">
      <c r="A1047" t="s">
        <v>1093</v>
      </c>
      <c r="B1047" s="8">
        <v>45746</v>
      </c>
      <c r="C1047" t="s">
        <v>2</v>
      </c>
      <c r="D1047" t="s">
        <v>34</v>
      </c>
      <c r="E1047" t="s">
        <v>40</v>
      </c>
      <c r="F1047" t="s">
        <v>45</v>
      </c>
      <c r="G1047" t="s">
        <v>42</v>
      </c>
      <c r="H1047">
        <v>1</v>
      </c>
      <c r="I1047">
        <v>0</v>
      </c>
      <c r="J1047">
        <v>0</v>
      </c>
      <c r="K1047">
        <v>0</v>
      </c>
      <c r="L1047">
        <v>0</v>
      </c>
      <c r="M1047">
        <v>0</v>
      </c>
      <c r="N1047">
        <v>0</v>
      </c>
      <c r="O1047">
        <v>0</v>
      </c>
      <c r="Q1047">
        <v>61</v>
      </c>
    </row>
    <row r="1048" spans="1:17">
      <c r="A1048" t="s">
        <v>1094</v>
      </c>
      <c r="B1048" s="8">
        <v>45760</v>
      </c>
      <c r="C1048" t="s">
        <v>2</v>
      </c>
      <c r="D1048" t="s">
        <v>39</v>
      </c>
      <c r="E1048" t="s">
        <v>40</v>
      </c>
      <c r="F1048" t="s">
        <v>41</v>
      </c>
      <c r="G1048" t="s">
        <v>37</v>
      </c>
      <c r="H1048">
        <v>1</v>
      </c>
      <c r="I1048">
        <v>0</v>
      </c>
      <c r="J1048">
        <v>0</v>
      </c>
      <c r="K1048">
        <v>0</v>
      </c>
      <c r="L1048">
        <v>0</v>
      </c>
      <c r="M1048">
        <v>0</v>
      </c>
      <c r="N1048">
        <v>0</v>
      </c>
      <c r="O1048">
        <v>0</v>
      </c>
      <c r="Q1048">
        <v>55</v>
      </c>
    </row>
    <row r="1049" spans="1:17">
      <c r="A1049" t="s">
        <v>1095</v>
      </c>
      <c r="B1049" s="8">
        <v>45708</v>
      </c>
      <c r="C1049" t="s">
        <v>2</v>
      </c>
      <c r="D1049" t="s">
        <v>44</v>
      </c>
      <c r="F1049" t="s">
        <v>45</v>
      </c>
      <c r="G1049" t="s">
        <v>37</v>
      </c>
      <c r="H1049">
        <v>1</v>
      </c>
      <c r="I1049">
        <v>0</v>
      </c>
      <c r="J1049">
        <v>0</v>
      </c>
      <c r="K1049">
        <v>0</v>
      </c>
      <c r="L1049">
        <v>0</v>
      </c>
      <c r="M1049">
        <v>0</v>
      </c>
      <c r="N1049">
        <v>0</v>
      </c>
      <c r="O1049">
        <v>0</v>
      </c>
      <c r="Q1049">
        <v>63.1</v>
      </c>
    </row>
    <row r="1050" spans="1:17">
      <c r="A1050" t="s">
        <v>1096</v>
      </c>
      <c r="B1050" s="8">
        <v>45766</v>
      </c>
      <c r="C1050" t="s">
        <v>2</v>
      </c>
      <c r="D1050" t="s">
        <v>39</v>
      </c>
      <c r="E1050" t="s">
        <v>35</v>
      </c>
      <c r="F1050" t="s">
        <v>57</v>
      </c>
      <c r="G1050" t="s">
        <v>42</v>
      </c>
      <c r="H1050">
        <v>1</v>
      </c>
      <c r="I1050">
        <v>0</v>
      </c>
      <c r="J1050">
        <v>0</v>
      </c>
      <c r="K1050">
        <v>0</v>
      </c>
      <c r="L1050">
        <v>0</v>
      </c>
      <c r="M1050">
        <v>0</v>
      </c>
      <c r="N1050">
        <v>0</v>
      </c>
      <c r="O1050">
        <v>0</v>
      </c>
      <c r="Q1050">
        <v>75.8</v>
      </c>
    </row>
    <row r="1051" spans="1:17">
      <c r="A1051" t="s">
        <v>1097</v>
      </c>
      <c r="B1051" s="8">
        <v>45738</v>
      </c>
      <c r="C1051" t="s">
        <v>2</v>
      </c>
      <c r="D1051" t="s">
        <v>48</v>
      </c>
      <c r="E1051" t="s">
        <v>40</v>
      </c>
      <c r="F1051" t="s">
        <v>45</v>
      </c>
      <c r="G1051" t="s">
        <v>42</v>
      </c>
      <c r="H1051">
        <v>1</v>
      </c>
      <c r="I1051">
        <v>1</v>
      </c>
      <c r="J1051">
        <v>0</v>
      </c>
      <c r="K1051">
        <v>0</v>
      </c>
      <c r="L1051">
        <v>0</v>
      </c>
      <c r="M1051">
        <v>1</v>
      </c>
      <c r="N1051">
        <v>1</v>
      </c>
      <c r="O1051">
        <v>0</v>
      </c>
      <c r="Q1051">
        <v>43.8</v>
      </c>
    </row>
    <row r="1052" spans="1:17">
      <c r="A1052" t="s">
        <v>1098</v>
      </c>
      <c r="B1052" s="8">
        <v>45716</v>
      </c>
      <c r="C1052" t="s">
        <v>2</v>
      </c>
      <c r="D1052" t="s">
        <v>34</v>
      </c>
      <c r="E1052" t="s">
        <v>40</v>
      </c>
      <c r="F1052" t="s">
        <v>36</v>
      </c>
      <c r="G1052" t="s">
        <v>37</v>
      </c>
      <c r="H1052">
        <v>1</v>
      </c>
      <c r="I1052">
        <v>1</v>
      </c>
      <c r="J1052">
        <v>0</v>
      </c>
      <c r="K1052">
        <v>0</v>
      </c>
      <c r="L1052">
        <v>0</v>
      </c>
      <c r="M1052">
        <v>0</v>
      </c>
      <c r="N1052">
        <v>0</v>
      </c>
      <c r="O1052">
        <v>0</v>
      </c>
      <c r="Q1052">
        <v>46.8</v>
      </c>
    </row>
    <row r="1053" spans="1:17">
      <c r="A1053" t="s">
        <v>1099</v>
      </c>
      <c r="B1053" s="8">
        <v>45801</v>
      </c>
      <c r="C1053" t="s">
        <v>2</v>
      </c>
      <c r="D1053" t="s">
        <v>44</v>
      </c>
      <c r="E1053" t="s">
        <v>40</v>
      </c>
      <c r="F1053" t="s">
        <v>57</v>
      </c>
      <c r="G1053" t="s">
        <v>42</v>
      </c>
      <c r="H1053">
        <v>1</v>
      </c>
      <c r="I1053">
        <v>1</v>
      </c>
      <c r="J1053">
        <v>1</v>
      </c>
      <c r="K1053">
        <v>0</v>
      </c>
      <c r="L1053">
        <v>0</v>
      </c>
      <c r="M1053">
        <v>0</v>
      </c>
      <c r="N1053">
        <v>0</v>
      </c>
      <c r="O1053">
        <v>0</v>
      </c>
      <c r="Q1053">
        <v>97.4</v>
      </c>
    </row>
    <row r="1054" spans="1:17">
      <c r="A1054" t="s">
        <v>1100</v>
      </c>
      <c r="B1054" s="8">
        <v>45691</v>
      </c>
      <c r="C1054" t="s">
        <v>2</v>
      </c>
      <c r="D1054" t="s">
        <v>34</v>
      </c>
      <c r="E1054" t="s">
        <v>35</v>
      </c>
      <c r="F1054" t="s">
        <v>36</v>
      </c>
      <c r="G1054" t="s">
        <v>42</v>
      </c>
      <c r="H1054">
        <v>1</v>
      </c>
      <c r="I1054">
        <v>1</v>
      </c>
      <c r="J1054">
        <v>1</v>
      </c>
      <c r="K1054">
        <v>1</v>
      </c>
      <c r="L1054">
        <v>268.95999999999998</v>
      </c>
      <c r="M1054">
        <v>0</v>
      </c>
      <c r="N1054">
        <v>0</v>
      </c>
      <c r="O1054">
        <v>0</v>
      </c>
      <c r="P1054">
        <v>14</v>
      </c>
      <c r="Q1054">
        <v>81</v>
      </c>
    </row>
    <row r="1055" spans="1:17">
      <c r="A1055" t="s">
        <v>1101</v>
      </c>
      <c r="B1055" s="8">
        <v>45684</v>
      </c>
      <c r="C1055" t="s">
        <v>2</v>
      </c>
      <c r="D1055" t="s">
        <v>48</v>
      </c>
      <c r="E1055" t="s">
        <v>40</v>
      </c>
      <c r="F1055" t="s">
        <v>41</v>
      </c>
      <c r="G1055" t="s">
        <v>42</v>
      </c>
      <c r="H1055">
        <v>1</v>
      </c>
      <c r="I1055">
        <v>0</v>
      </c>
      <c r="J1055">
        <v>0</v>
      </c>
      <c r="K1055">
        <v>0</v>
      </c>
      <c r="L1055">
        <v>0</v>
      </c>
      <c r="M1055">
        <v>1</v>
      </c>
      <c r="N1055">
        <v>1</v>
      </c>
      <c r="O1055">
        <v>0</v>
      </c>
      <c r="Q1055">
        <v>58.9</v>
      </c>
    </row>
    <row r="1056" spans="1:17">
      <c r="A1056" t="s">
        <v>1102</v>
      </c>
      <c r="B1056" s="8">
        <v>45764</v>
      </c>
      <c r="C1056" t="s">
        <v>2</v>
      </c>
      <c r="D1056" t="s">
        <v>44</v>
      </c>
      <c r="E1056" t="s">
        <v>40</v>
      </c>
      <c r="F1056" t="s">
        <v>41</v>
      </c>
      <c r="G1056" t="s">
        <v>42</v>
      </c>
      <c r="H1056">
        <v>1</v>
      </c>
      <c r="I1056">
        <v>0</v>
      </c>
      <c r="J1056">
        <v>0</v>
      </c>
      <c r="K1056">
        <v>0</v>
      </c>
      <c r="L1056">
        <v>0</v>
      </c>
      <c r="M1056">
        <v>0</v>
      </c>
      <c r="N1056">
        <v>0</v>
      </c>
      <c r="O1056">
        <v>0</v>
      </c>
      <c r="Q1056">
        <v>51.9</v>
      </c>
    </row>
    <row r="1057" spans="1:17">
      <c r="A1057" t="s">
        <v>1103</v>
      </c>
      <c r="B1057" s="8">
        <v>45694</v>
      </c>
      <c r="C1057" t="s">
        <v>2</v>
      </c>
      <c r="D1057" t="s">
        <v>39</v>
      </c>
      <c r="E1057" t="s">
        <v>40</v>
      </c>
      <c r="F1057" t="s">
        <v>57</v>
      </c>
      <c r="G1057" t="s">
        <v>42</v>
      </c>
      <c r="H1057">
        <v>1</v>
      </c>
      <c r="I1057">
        <v>1</v>
      </c>
      <c r="J1057">
        <v>0</v>
      </c>
      <c r="K1057">
        <v>0</v>
      </c>
      <c r="L1057">
        <v>0</v>
      </c>
      <c r="M1057">
        <v>0</v>
      </c>
      <c r="N1057">
        <v>0</v>
      </c>
      <c r="O1057">
        <v>0</v>
      </c>
      <c r="Q1057">
        <v>61.7</v>
      </c>
    </row>
    <row r="1058" spans="1:17">
      <c r="A1058" t="s">
        <v>1104</v>
      </c>
      <c r="B1058" s="8">
        <v>45767</v>
      </c>
      <c r="C1058" t="s">
        <v>2</v>
      </c>
      <c r="D1058" t="s">
        <v>48</v>
      </c>
      <c r="E1058" t="s">
        <v>40</v>
      </c>
      <c r="F1058" t="s">
        <v>45</v>
      </c>
      <c r="G1058" t="s">
        <v>42</v>
      </c>
      <c r="H1058">
        <v>1</v>
      </c>
      <c r="I1058">
        <v>0</v>
      </c>
      <c r="J1058">
        <v>0</v>
      </c>
      <c r="K1058">
        <v>0</v>
      </c>
      <c r="L1058">
        <v>0</v>
      </c>
      <c r="M1058">
        <v>0</v>
      </c>
      <c r="N1058">
        <v>0</v>
      </c>
      <c r="O1058">
        <v>0</v>
      </c>
      <c r="Q1058">
        <v>44.7</v>
      </c>
    </row>
    <row r="1059" spans="1:17">
      <c r="A1059" t="s">
        <v>1105</v>
      </c>
      <c r="B1059" s="8">
        <v>45783</v>
      </c>
      <c r="C1059" t="s">
        <v>2</v>
      </c>
      <c r="D1059" t="s">
        <v>34</v>
      </c>
      <c r="E1059" t="s">
        <v>40</v>
      </c>
      <c r="F1059" t="s">
        <v>45</v>
      </c>
      <c r="G1059" t="s">
        <v>37</v>
      </c>
      <c r="H1059">
        <v>0</v>
      </c>
      <c r="I1059">
        <v>0</v>
      </c>
      <c r="J1059">
        <v>0</v>
      </c>
      <c r="K1059">
        <v>0</v>
      </c>
      <c r="L1059">
        <v>0</v>
      </c>
      <c r="M1059">
        <v>0</v>
      </c>
      <c r="N1059">
        <v>0</v>
      </c>
      <c r="O1059">
        <v>0</v>
      </c>
      <c r="Q1059">
        <v>63.2</v>
      </c>
    </row>
    <row r="1060" spans="1:17">
      <c r="A1060" t="s">
        <v>1106</v>
      </c>
      <c r="B1060" s="8">
        <v>45793</v>
      </c>
      <c r="C1060" t="s">
        <v>2</v>
      </c>
      <c r="D1060" t="s">
        <v>48</v>
      </c>
      <c r="E1060" t="s">
        <v>40</v>
      </c>
      <c r="F1060" t="s">
        <v>41</v>
      </c>
      <c r="G1060" t="s">
        <v>42</v>
      </c>
      <c r="H1060">
        <v>1</v>
      </c>
      <c r="I1060">
        <v>0</v>
      </c>
      <c r="J1060">
        <v>0</v>
      </c>
      <c r="K1060">
        <v>0</v>
      </c>
      <c r="L1060">
        <v>0</v>
      </c>
      <c r="M1060">
        <v>0</v>
      </c>
      <c r="N1060">
        <v>0</v>
      </c>
      <c r="O1060">
        <v>0</v>
      </c>
      <c r="Q1060">
        <v>70.3</v>
      </c>
    </row>
    <row r="1061" spans="1:17">
      <c r="A1061" t="s">
        <v>1107</v>
      </c>
      <c r="B1061" s="8">
        <v>45718</v>
      </c>
      <c r="C1061" t="s">
        <v>2</v>
      </c>
      <c r="D1061" t="s">
        <v>48</v>
      </c>
      <c r="E1061" t="s">
        <v>40</v>
      </c>
      <c r="F1061" t="s">
        <v>45</v>
      </c>
      <c r="G1061" t="s">
        <v>46</v>
      </c>
      <c r="H1061">
        <v>1</v>
      </c>
      <c r="I1061">
        <v>1</v>
      </c>
      <c r="J1061">
        <v>0</v>
      </c>
      <c r="K1061">
        <v>0</v>
      </c>
      <c r="L1061">
        <v>0</v>
      </c>
      <c r="M1061">
        <v>1</v>
      </c>
      <c r="N1061">
        <v>1</v>
      </c>
      <c r="O1061">
        <v>0</v>
      </c>
      <c r="Q1061">
        <v>83.1</v>
      </c>
    </row>
    <row r="1062" spans="1:17">
      <c r="A1062" t="s">
        <v>1108</v>
      </c>
      <c r="B1062" s="8">
        <v>45756</v>
      </c>
      <c r="C1062" t="s">
        <v>2</v>
      </c>
      <c r="D1062" t="s">
        <v>39</v>
      </c>
      <c r="E1062" t="s">
        <v>40</v>
      </c>
      <c r="F1062" t="s">
        <v>57</v>
      </c>
      <c r="G1062" t="s">
        <v>42</v>
      </c>
      <c r="H1062">
        <v>0</v>
      </c>
      <c r="I1062">
        <v>0</v>
      </c>
      <c r="J1062">
        <v>0</v>
      </c>
      <c r="K1062">
        <v>0</v>
      </c>
      <c r="L1062">
        <v>0</v>
      </c>
      <c r="M1062">
        <v>0</v>
      </c>
      <c r="N1062">
        <v>0</v>
      </c>
      <c r="O1062">
        <v>0</v>
      </c>
      <c r="Q1062">
        <v>50.3</v>
      </c>
    </row>
    <row r="1063" spans="1:17">
      <c r="A1063" t="s">
        <v>1109</v>
      </c>
      <c r="B1063" s="8">
        <v>45683</v>
      </c>
      <c r="C1063" t="s">
        <v>2</v>
      </c>
      <c r="D1063" t="s">
        <v>44</v>
      </c>
      <c r="E1063" t="s">
        <v>40</v>
      </c>
      <c r="F1063" t="s">
        <v>45</v>
      </c>
      <c r="G1063" t="s">
        <v>42</v>
      </c>
      <c r="H1063">
        <v>1</v>
      </c>
      <c r="I1063">
        <v>1</v>
      </c>
      <c r="J1063">
        <v>1</v>
      </c>
      <c r="K1063">
        <v>1</v>
      </c>
      <c r="L1063">
        <v>437.09</v>
      </c>
      <c r="M1063">
        <v>2</v>
      </c>
      <c r="N1063">
        <v>1</v>
      </c>
      <c r="O1063">
        <v>1</v>
      </c>
      <c r="P1063">
        <v>1</v>
      </c>
      <c r="Q1063">
        <v>58.2</v>
      </c>
    </row>
    <row r="1064" spans="1:17">
      <c r="A1064" t="s">
        <v>1110</v>
      </c>
      <c r="B1064" s="8">
        <v>45713</v>
      </c>
      <c r="C1064" t="s">
        <v>2</v>
      </c>
      <c r="D1064" t="s">
        <v>48</v>
      </c>
      <c r="E1064" t="s">
        <v>40</v>
      </c>
      <c r="F1064" t="s">
        <v>45</v>
      </c>
      <c r="G1064" t="s">
        <v>37</v>
      </c>
      <c r="H1064">
        <v>1</v>
      </c>
      <c r="I1064">
        <v>1</v>
      </c>
      <c r="J1064">
        <v>1</v>
      </c>
      <c r="K1064">
        <v>0</v>
      </c>
      <c r="L1064">
        <v>0</v>
      </c>
      <c r="M1064">
        <v>0</v>
      </c>
      <c r="N1064">
        <v>0</v>
      </c>
      <c r="O1064">
        <v>0</v>
      </c>
      <c r="Q1064">
        <v>53.2</v>
      </c>
    </row>
    <row r="1065" spans="1:17">
      <c r="A1065" t="s">
        <v>1111</v>
      </c>
      <c r="B1065" s="8">
        <v>45664</v>
      </c>
      <c r="C1065" t="s">
        <v>2</v>
      </c>
      <c r="D1065" t="s">
        <v>44</v>
      </c>
      <c r="E1065" t="s">
        <v>40</v>
      </c>
      <c r="F1065" t="s">
        <v>41</v>
      </c>
      <c r="G1065" t="s">
        <v>46</v>
      </c>
      <c r="H1065">
        <v>0</v>
      </c>
      <c r="I1065">
        <v>0</v>
      </c>
      <c r="J1065">
        <v>0</v>
      </c>
      <c r="K1065">
        <v>0</v>
      </c>
      <c r="L1065">
        <v>0</v>
      </c>
      <c r="M1065">
        <v>0</v>
      </c>
      <c r="N1065">
        <v>0</v>
      </c>
      <c r="O1065">
        <v>0</v>
      </c>
      <c r="Q1065">
        <v>36.4</v>
      </c>
    </row>
    <row r="1066" spans="1:17">
      <c r="A1066" t="s">
        <v>1112</v>
      </c>
      <c r="B1066" s="8">
        <v>45724</v>
      </c>
      <c r="C1066" t="s">
        <v>2</v>
      </c>
      <c r="D1066" t="s">
        <v>48</v>
      </c>
      <c r="E1066" t="s">
        <v>40</v>
      </c>
      <c r="F1066" t="s">
        <v>57</v>
      </c>
      <c r="G1066" t="s">
        <v>37</v>
      </c>
      <c r="H1066">
        <v>1</v>
      </c>
      <c r="I1066">
        <v>1</v>
      </c>
      <c r="J1066">
        <v>1</v>
      </c>
      <c r="K1066">
        <v>0</v>
      </c>
      <c r="L1066">
        <v>0</v>
      </c>
      <c r="M1066">
        <v>0</v>
      </c>
      <c r="N1066">
        <v>0</v>
      </c>
      <c r="O1066">
        <v>0</v>
      </c>
      <c r="Q1066">
        <v>72.7</v>
      </c>
    </row>
    <row r="1067" spans="1:17">
      <c r="A1067" t="s">
        <v>1113</v>
      </c>
      <c r="B1067" s="8">
        <v>45799</v>
      </c>
      <c r="C1067" t="s">
        <v>2</v>
      </c>
      <c r="D1067" t="s">
        <v>44</v>
      </c>
      <c r="E1067" t="s">
        <v>40</v>
      </c>
      <c r="F1067" t="s">
        <v>55</v>
      </c>
      <c r="G1067" t="s">
        <v>42</v>
      </c>
      <c r="H1067">
        <v>1</v>
      </c>
      <c r="I1067">
        <v>0</v>
      </c>
      <c r="J1067">
        <v>0</v>
      </c>
      <c r="K1067">
        <v>0</v>
      </c>
      <c r="L1067">
        <v>0</v>
      </c>
      <c r="M1067">
        <v>1</v>
      </c>
      <c r="N1067">
        <v>1</v>
      </c>
      <c r="O1067">
        <v>0</v>
      </c>
      <c r="Q1067">
        <v>86.7</v>
      </c>
    </row>
    <row r="1068" spans="1:17">
      <c r="A1068" t="s">
        <v>1114</v>
      </c>
      <c r="B1068" s="8">
        <v>45765</v>
      </c>
      <c r="C1068" t="s">
        <v>2</v>
      </c>
      <c r="D1068" t="s">
        <v>44</v>
      </c>
      <c r="E1068" t="s">
        <v>40</v>
      </c>
      <c r="F1068" t="s">
        <v>45</v>
      </c>
      <c r="G1068" t="s">
        <v>46</v>
      </c>
      <c r="H1068">
        <v>1</v>
      </c>
      <c r="I1068">
        <v>0</v>
      </c>
      <c r="J1068">
        <v>0</v>
      </c>
      <c r="K1068">
        <v>0</v>
      </c>
      <c r="L1068">
        <v>0</v>
      </c>
      <c r="M1068">
        <v>0</v>
      </c>
      <c r="N1068">
        <v>0</v>
      </c>
      <c r="O1068">
        <v>0</v>
      </c>
      <c r="Q1068">
        <v>48.2</v>
      </c>
    </row>
    <row r="1069" spans="1:17">
      <c r="A1069" t="s">
        <v>1115</v>
      </c>
      <c r="B1069" s="8">
        <v>45712</v>
      </c>
      <c r="C1069" t="s">
        <v>2</v>
      </c>
      <c r="D1069" t="s">
        <v>39</v>
      </c>
      <c r="E1069" t="s">
        <v>40</v>
      </c>
      <c r="F1069" t="s">
        <v>55</v>
      </c>
      <c r="G1069" t="s">
        <v>37</v>
      </c>
      <c r="H1069">
        <v>0</v>
      </c>
      <c r="I1069">
        <v>0</v>
      </c>
      <c r="J1069">
        <v>0</v>
      </c>
      <c r="K1069">
        <v>0</v>
      </c>
      <c r="L1069">
        <v>0</v>
      </c>
      <c r="M1069">
        <v>1</v>
      </c>
      <c r="N1069">
        <v>1</v>
      </c>
      <c r="O1069">
        <v>0</v>
      </c>
      <c r="Q1069">
        <v>57.6</v>
      </c>
    </row>
    <row r="1070" spans="1:17">
      <c r="A1070" t="s">
        <v>1116</v>
      </c>
      <c r="B1070" s="8">
        <v>45699</v>
      </c>
      <c r="C1070" t="s">
        <v>2</v>
      </c>
      <c r="D1070" t="s">
        <v>34</v>
      </c>
      <c r="E1070" t="s">
        <v>40</v>
      </c>
      <c r="F1070" t="s">
        <v>41</v>
      </c>
      <c r="G1070" t="s">
        <v>42</v>
      </c>
      <c r="H1070">
        <v>1</v>
      </c>
      <c r="I1070">
        <v>1</v>
      </c>
      <c r="J1070">
        <v>1</v>
      </c>
      <c r="K1070">
        <v>0</v>
      </c>
      <c r="L1070">
        <v>0</v>
      </c>
      <c r="M1070">
        <v>0</v>
      </c>
      <c r="N1070">
        <v>0</v>
      </c>
      <c r="O1070">
        <v>0</v>
      </c>
      <c r="Q1070">
        <v>75.7</v>
      </c>
    </row>
    <row r="1071" spans="1:17">
      <c r="A1071" t="s">
        <v>1117</v>
      </c>
      <c r="B1071" s="8">
        <v>45727</v>
      </c>
      <c r="C1071" t="s">
        <v>2</v>
      </c>
      <c r="D1071" t="s">
        <v>39</v>
      </c>
      <c r="E1071" t="s">
        <v>35</v>
      </c>
      <c r="F1071" t="s">
        <v>45</v>
      </c>
      <c r="G1071" t="s">
        <v>42</v>
      </c>
      <c r="H1071">
        <v>1</v>
      </c>
      <c r="I1071">
        <v>0</v>
      </c>
      <c r="J1071">
        <v>0</v>
      </c>
      <c r="K1071">
        <v>0</v>
      </c>
      <c r="L1071">
        <v>0</v>
      </c>
      <c r="M1071">
        <v>2</v>
      </c>
      <c r="N1071">
        <v>1</v>
      </c>
      <c r="O1071">
        <v>0</v>
      </c>
      <c r="Q1071">
        <v>48.6</v>
      </c>
    </row>
    <row r="1072" spans="1:17">
      <c r="A1072" t="s">
        <v>1118</v>
      </c>
      <c r="B1072" s="8">
        <v>45758</v>
      </c>
      <c r="C1072" t="s">
        <v>2</v>
      </c>
      <c r="D1072" t="s">
        <v>44</v>
      </c>
      <c r="E1072" t="s">
        <v>50</v>
      </c>
      <c r="F1072" t="s">
        <v>55</v>
      </c>
      <c r="G1072" t="s">
        <v>42</v>
      </c>
      <c r="H1072">
        <v>1</v>
      </c>
      <c r="I1072">
        <v>1</v>
      </c>
      <c r="J1072">
        <v>1</v>
      </c>
      <c r="K1072">
        <v>0</v>
      </c>
      <c r="L1072">
        <v>0</v>
      </c>
      <c r="M1072">
        <v>0</v>
      </c>
      <c r="N1072">
        <v>0</v>
      </c>
      <c r="O1072">
        <v>0</v>
      </c>
      <c r="Q1072">
        <v>72</v>
      </c>
    </row>
    <row r="1073" spans="1:17">
      <c r="A1073" t="s">
        <v>1119</v>
      </c>
      <c r="B1073" s="8">
        <v>45727</v>
      </c>
      <c r="C1073" t="s">
        <v>2</v>
      </c>
      <c r="D1073" t="s">
        <v>34</v>
      </c>
      <c r="E1073" t="s">
        <v>40</v>
      </c>
      <c r="F1073" t="s">
        <v>41</v>
      </c>
      <c r="G1073" t="s">
        <v>42</v>
      </c>
      <c r="H1073">
        <v>0</v>
      </c>
      <c r="I1073">
        <v>0</v>
      </c>
      <c r="J1073">
        <v>0</v>
      </c>
      <c r="K1073">
        <v>0</v>
      </c>
      <c r="L1073">
        <v>0</v>
      </c>
      <c r="M1073">
        <v>0</v>
      </c>
      <c r="N1073">
        <v>0</v>
      </c>
      <c r="O1073">
        <v>0</v>
      </c>
      <c r="Q1073">
        <v>72.2</v>
      </c>
    </row>
    <row r="1074" spans="1:17">
      <c r="A1074" t="s">
        <v>1120</v>
      </c>
      <c r="B1074" s="8">
        <v>45799</v>
      </c>
      <c r="C1074" t="s">
        <v>2</v>
      </c>
      <c r="D1074" t="s">
        <v>44</v>
      </c>
      <c r="E1074" t="s">
        <v>40</v>
      </c>
      <c r="F1074" t="s">
        <v>55</v>
      </c>
      <c r="G1074" t="s">
        <v>42</v>
      </c>
      <c r="H1074">
        <v>1</v>
      </c>
      <c r="I1074">
        <v>0</v>
      </c>
      <c r="J1074">
        <v>0</v>
      </c>
      <c r="K1074">
        <v>0</v>
      </c>
      <c r="L1074">
        <v>0</v>
      </c>
      <c r="M1074">
        <v>1</v>
      </c>
      <c r="N1074">
        <v>1</v>
      </c>
      <c r="O1074">
        <v>0</v>
      </c>
    </row>
    <row r="1075" spans="1:17">
      <c r="A1075" t="s">
        <v>1121</v>
      </c>
      <c r="B1075" s="8">
        <v>45710</v>
      </c>
      <c r="C1075" t="s">
        <v>2</v>
      </c>
      <c r="D1075" t="s">
        <v>48</v>
      </c>
      <c r="E1075" t="s">
        <v>35</v>
      </c>
      <c r="F1075" t="s">
        <v>41</v>
      </c>
      <c r="G1075" t="s">
        <v>42</v>
      </c>
      <c r="H1075">
        <v>1</v>
      </c>
      <c r="I1075">
        <v>1</v>
      </c>
      <c r="J1075">
        <v>1</v>
      </c>
      <c r="K1075">
        <v>1</v>
      </c>
      <c r="L1075">
        <v>331.53</v>
      </c>
      <c r="M1075">
        <v>2</v>
      </c>
      <c r="N1075">
        <v>1</v>
      </c>
      <c r="O1075">
        <v>0</v>
      </c>
      <c r="P1075">
        <v>4</v>
      </c>
      <c r="Q1075">
        <v>56.8</v>
      </c>
    </row>
    <row r="1076" spans="1:17">
      <c r="A1076" t="s">
        <v>1122</v>
      </c>
      <c r="B1076" s="8">
        <v>45670</v>
      </c>
      <c r="C1076" t="s">
        <v>2</v>
      </c>
      <c r="D1076" t="s">
        <v>44</v>
      </c>
      <c r="E1076" t="s">
        <v>40</v>
      </c>
      <c r="F1076" t="s">
        <v>45</v>
      </c>
      <c r="G1076" t="s">
        <v>37</v>
      </c>
      <c r="H1076">
        <v>1</v>
      </c>
      <c r="I1076">
        <v>0</v>
      </c>
      <c r="J1076">
        <v>0</v>
      </c>
      <c r="K1076">
        <v>0</v>
      </c>
      <c r="L1076">
        <v>0</v>
      </c>
      <c r="M1076">
        <v>0</v>
      </c>
      <c r="N1076">
        <v>0</v>
      </c>
      <c r="O1076">
        <v>0</v>
      </c>
      <c r="Q1076">
        <v>62.5</v>
      </c>
    </row>
    <row r="1077" spans="1:17">
      <c r="A1077" t="s">
        <v>1123</v>
      </c>
      <c r="B1077" s="8">
        <v>45796</v>
      </c>
      <c r="C1077" t="s">
        <v>2</v>
      </c>
      <c r="D1077" t="s">
        <v>48</v>
      </c>
      <c r="E1077" t="s">
        <v>40</v>
      </c>
      <c r="F1077" t="s">
        <v>41</v>
      </c>
      <c r="G1077" t="s">
        <v>42</v>
      </c>
      <c r="H1077">
        <v>1</v>
      </c>
      <c r="I1077">
        <v>0</v>
      </c>
      <c r="J1077">
        <v>0</v>
      </c>
      <c r="K1077">
        <v>0</v>
      </c>
      <c r="L1077">
        <v>0</v>
      </c>
      <c r="M1077">
        <v>0</v>
      </c>
      <c r="N1077">
        <v>0</v>
      </c>
      <c r="O1077">
        <v>0</v>
      </c>
      <c r="Q1077">
        <v>63.4</v>
      </c>
    </row>
    <row r="1078" spans="1:17">
      <c r="A1078" t="s">
        <v>1124</v>
      </c>
      <c r="B1078" s="8">
        <v>45724</v>
      </c>
      <c r="C1078" t="s">
        <v>2</v>
      </c>
      <c r="D1078" t="s">
        <v>34</v>
      </c>
      <c r="E1078" t="s">
        <v>50</v>
      </c>
      <c r="F1078" t="s">
        <v>41</v>
      </c>
      <c r="G1078" t="s">
        <v>37</v>
      </c>
      <c r="H1078">
        <v>1</v>
      </c>
      <c r="I1078">
        <v>1</v>
      </c>
      <c r="J1078">
        <v>1</v>
      </c>
      <c r="K1078">
        <v>1</v>
      </c>
      <c r="L1078">
        <v>774.78</v>
      </c>
      <c r="M1078">
        <v>0</v>
      </c>
      <c r="N1078">
        <v>0</v>
      </c>
      <c r="O1078">
        <v>0</v>
      </c>
      <c r="P1078">
        <v>3</v>
      </c>
      <c r="Q1078">
        <v>46.8</v>
      </c>
    </row>
    <row r="1079" spans="1:17">
      <c r="A1079" t="s">
        <v>1125</v>
      </c>
      <c r="B1079" s="8">
        <v>45767</v>
      </c>
      <c r="C1079" t="s">
        <v>2</v>
      </c>
      <c r="D1079" t="s">
        <v>48</v>
      </c>
      <c r="E1079" t="s">
        <v>40</v>
      </c>
      <c r="F1079" t="s">
        <v>41</v>
      </c>
      <c r="G1079" t="s">
        <v>42</v>
      </c>
      <c r="H1079">
        <v>1</v>
      </c>
      <c r="I1079">
        <v>1</v>
      </c>
      <c r="J1079">
        <v>1</v>
      </c>
      <c r="K1079">
        <v>1</v>
      </c>
      <c r="L1079">
        <v>422.02</v>
      </c>
      <c r="M1079">
        <v>0</v>
      </c>
      <c r="N1079">
        <v>0</v>
      </c>
      <c r="O1079">
        <v>0</v>
      </c>
      <c r="P1079">
        <v>8</v>
      </c>
      <c r="Q1079">
        <v>86.5</v>
      </c>
    </row>
    <row r="1080" spans="1:17">
      <c r="A1080" t="s">
        <v>1126</v>
      </c>
      <c r="B1080" s="8">
        <v>45785</v>
      </c>
      <c r="C1080" t="s">
        <v>2</v>
      </c>
      <c r="D1080" t="s">
        <v>39</v>
      </c>
      <c r="E1080" t="s">
        <v>40</v>
      </c>
      <c r="F1080" t="s">
        <v>36</v>
      </c>
      <c r="G1080" t="s">
        <v>37</v>
      </c>
      <c r="H1080">
        <v>0</v>
      </c>
      <c r="I1080">
        <v>0</v>
      </c>
      <c r="J1080">
        <v>0</v>
      </c>
      <c r="K1080">
        <v>0</v>
      </c>
      <c r="L1080">
        <v>0</v>
      </c>
      <c r="M1080">
        <v>1</v>
      </c>
      <c r="N1080">
        <v>1</v>
      </c>
      <c r="O1080">
        <v>0</v>
      </c>
      <c r="Q1080">
        <v>75.099999999999994</v>
      </c>
    </row>
    <row r="1081" spans="1:17">
      <c r="A1081" t="s">
        <v>1127</v>
      </c>
      <c r="B1081" s="8">
        <v>45787</v>
      </c>
      <c r="C1081" t="s">
        <v>2</v>
      </c>
      <c r="D1081" t="s">
        <v>48</v>
      </c>
      <c r="E1081" t="s">
        <v>40</v>
      </c>
      <c r="F1081" t="s">
        <v>41</v>
      </c>
      <c r="G1081" t="s">
        <v>37</v>
      </c>
      <c r="H1081">
        <v>1</v>
      </c>
      <c r="I1081">
        <v>0</v>
      </c>
      <c r="J1081">
        <v>0</v>
      </c>
      <c r="K1081">
        <v>0</v>
      </c>
      <c r="L1081">
        <v>0</v>
      </c>
      <c r="M1081">
        <v>0</v>
      </c>
      <c r="N1081">
        <v>0</v>
      </c>
      <c r="O1081">
        <v>0</v>
      </c>
      <c r="Q1081">
        <v>64.5</v>
      </c>
    </row>
    <row r="1082" spans="1:17">
      <c r="A1082" t="s">
        <v>1128</v>
      </c>
      <c r="B1082" s="8">
        <v>45744</v>
      </c>
      <c r="C1082" t="s">
        <v>2</v>
      </c>
      <c r="D1082" t="s">
        <v>44</v>
      </c>
      <c r="E1082" t="s">
        <v>40</v>
      </c>
      <c r="F1082" t="s">
        <v>41</v>
      </c>
      <c r="G1082" t="s">
        <v>42</v>
      </c>
      <c r="H1082">
        <v>1</v>
      </c>
      <c r="I1082">
        <v>0</v>
      </c>
      <c r="J1082">
        <v>0</v>
      </c>
      <c r="K1082">
        <v>0</v>
      </c>
      <c r="L1082">
        <v>0</v>
      </c>
      <c r="M1082">
        <v>0</v>
      </c>
      <c r="N1082">
        <v>0</v>
      </c>
      <c r="O1082">
        <v>0</v>
      </c>
      <c r="Q1082">
        <v>54.2</v>
      </c>
    </row>
    <row r="1083" spans="1:17">
      <c r="A1083" t="s">
        <v>1129</v>
      </c>
      <c r="B1083" s="8">
        <v>45777</v>
      </c>
      <c r="C1083" t="s">
        <v>2</v>
      </c>
      <c r="D1083" t="s">
        <v>44</v>
      </c>
      <c r="E1083" t="s">
        <v>40</v>
      </c>
      <c r="F1083" t="s">
        <v>45</v>
      </c>
      <c r="G1083" t="s">
        <v>46</v>
      </c>
      <c r="H1083">
        <v>1</v>
      </c>
      <c r="I1083">
        <v>1</v>
      </c>
      <c r="J1083">
        <v>1</v>
      </c>
      <c r="K1083">
        <v>0</v>
      </c>
      <c r="L1083">
        <v>0</v>
      </c>
      <c r="M1083">
        <v>0</v>
      </c>
      <c r="N1083">
        <v>0</v>
      </c>
      <c r="O1083">
        <v>0</v>
      </c>
      <c r="Q1083">
        <v>84.1</v>
      </c>
    </row>
    <row r="1084" spans="1:17">
      <c r="A1084" t="s">
        <v>1130</v>
      </c>
      <c r="B1084" s="8">
        <v>45696</v>
      </c>
      <c r="C1084" t="s">
        <v>2</v>
      </c>
      <c r="D1084" t="s">
        <v>34</v>
      </c>
      <c r="E1084" t="s">
        <v>40</v>
      </c>
      <c r="F1084" t="s">
        <v>41</v>
      </c>
      <c r="G1084" t="s">
        <v>37</v>
      </c>
      <c r="H1084">
        <v>0</v>
      </c>
      <c r="I1084">
        <v>0</v>
      </c>
      <c r="J1084">
        <v>0</v>
      </c>
      <c r="K1084">
        <v>0</v>
      </c>
      <c r="L1084">
        <v>0</v>
      </c>
      <c r="M1084">
        <v>1</v>
      </c>
      <c r="N1084">
        <v>1</v>
      </c>
      <c r="O1084">
        <v>0</v>
      </c>
      <c r="Q1084">
        <v>49.1</v>
      </c>
    </row>
    <row r="1085" spans="1:17">
      <c r="A1085" t="s">
        <v>1131</v>
      </c>
      <c r="B1085" s="8">
        <v>45723</v>
      </c>
      <c r="C1085" t="s">
        <v>2</v>
      </c>
      <c r="D1085" t="s">
        <v>48</v>
      </c>
      <c r="E1085" t="s">
        <v>40</v>
      </c>
      <c r="F1085" t="s">
        <v>55</v>
      </c>
      <c r="G1085" t="s">
        <v>46</v>
      </c>
      <c r="H1085">
        <v>0</v>
      </c>
      <c r="I1085">
        <v>0</v>
      </c>
      <c r="J1085">
        <v>0</v>
      </c>
      <c r="K1085">
        <v>0</v>
      </c>
      <c r="L1085">
        <v>0</v>
      </c>
      <c r="M1085">
        <v>0</v>
      </c>
      <c r="N1085">
        <v>0</v>
      </c>
      <c r="O1085">
        <v>0</v>
      </c>
      <c r="Q1085">
        <v>92.7</v>
      </c>
    </row>
    <row r="1086" spans="1:17">
      <c r="A1086" t="s">
        <v>1132</v>
      </c>
      <c r="B1086" s="8">
        <v>45798</v>
      </c>
      <c r="C1086" t="s">
        <v>2</v>
      </c>
      <c r="D1086" t="s">
        <v>48</v>
      </c>
      <c r="E1086" t="s">
        <v>40</v>
      </c>
      <c r="F1086" t="s">
        <v>57</v>
      </c>
      <c r="G1086" t="s">
        <v>37</v>
      </c>
      <c r="H1086">
        <v>1</v>
      </c>
      <c r="I1086">
        <v>1</v>
      </c>
      <c r="J1086">
        <v>1</v>
      </c>
      <c r="K1086">
        <v>0</v>
      </c>
      <c r="L1086">
        <v>0</v>
      </c>
      <c r="M1086">
        <v>1</v>
      </c>
      <c r="N1086">
        <v>1</v>
      </c>
      <c r="O1086">
        <v>0</v>
      </c>
      <c r="Q1086">
        <v>58.7</v>
      </c>
    </row>
    <row r="1087" spans="1:17">
      <c r="A1087" t="s">
        <v>1133</v>
      </c>
      <c r="B1087" s="8">
        <v>45759</v>
      </c>
      <c r="C1087" t="s">
        <v>2</v>
      </c>
      <c r="D1087" t="s">
        <v>48</v>
      </c>
      <c r="E1087" t="s">
        <v>40</v>
      </c>
      <c r="F1087" t="s">
        <v>57</v>
      </c>
      <c r="G1087" t="s">
        <v>42</v>
      </c>
      <c r="H1087">
        <v>1</v>
      </c>
      <c r="I1087">
        <v>1</v>
      </c>
      <c r="J1087">
        <v>1</v>
      </c>
      <c r="K1087">
        <v>0</v>
      </c>
      <c r="L1087">
        <v>0</v>
      </c>
      <c r="M1087">
        <v>0</v>
      </c>
      <c r="N1087">
        <v>0</v>
      </c>
      <c r="O1087">
        <v>0</v>
      </c>
      <c r="Q1087">
        <v>59.3</v>
      </c>
    </row>
    <row r="1088" spans="1:17">
      <c r="A1088" t="s">
        <v>1134</v>
      </c>
      <c r="B1088" s="8">
        <v>45690</v>
      </c>
      <c r="C1088" t="s">
        <v>2</v>
      </c>
      <c r="D1088" t="s">
        <v>48</v>
      </c>
      <c r="E1088" t="s">
        <v>40</v>
      </c>
      <c r="F1088" t="s">
        <v>45</v>
      </c>
      <c r="G1088" t="s">
        <v>42</v>
      </c>
      <c r="H1088">
        <v>1</v>
      </c>
      <c r="I1088">
        <v>0</v>
      </c>
      <c r="J1088">
        <v>0</v>
      </c>
      <c r="K1088">
        <v>0</v>
      </c>
      <c r="L1088">
        <v>0</v>
      </c>
      <c r="M1088">
        <v>0</v>
      </c>
      <c r="N1088">
        <v>0</v>
      </c>
      <c r="O1088">
        <v>0</v>
      </c>
      <c r="Q1088">
        <v>62</v>
      </c>
    </row>
    <row r="1089" spans="1:17">
      <c r="A1089" t="s">
        <v>1135</v>
      </c>
      <c r="B1089" s="8">
        <v>45769</v>
      </c>
      <c r="C1089" t="s">
        <v>2</v>
      </c>
      <c r="D1089" t="s">
        <v>34</v>
      </c>
      <c r="E1089" t="s">
        <v>50</v>
      </c>
      <c r="F1089" t="s">
        <v>55</v>
      </c>
      <c r="G1089" t="s">
        <v>42</v>
      </c>
      <c r="H1089">
        <v>1</v>
      </c>
      <c r="I1089">
        <v>1</v>
      </c>
      <c r="J1089">
        <v>1</v>
      </c>
      <c r="K1089">
        <v>0</v>
      </c>
      <c r="L1089">
        <v>0</v>
      </c>
      <c r="M1089">
        <v>1</v>
      </c>
      <c r="N1089">
        <v>1</v>
      </c>
      <c r="O1089">
        <v>0</v>
      </c>
      <c r="Q1089">
        <v>60.3</v>
      </c>
    </row>
    <row r="1090" spans="1:17">
      <c r="A1090" t="s">
        <v>1136</v>
      </c>
      <c r="B1090" s="8">
        <v>45696</v>
      </c>
      <c r="C1090" t="s">
        <v>2</v>
      </c>
      <c r="D1090" t="s">
        <v>34</v>
      </c>
      <c r="E1090" t="s">
        <v>40</v>
      </c>
      <c r="F1090" t="s">
        <v>57</v>
      </c>
      <c r="G1090" t="s">
        <v>37</v>
      </c>
      <c r="H1090">
        <v>1</v>
      </c>
      <c r="I1090">
        <v>0</v>
      </c>
      <c r="J1090">
        <v>0</v>
      </c>
      <c r="K1090">
        <v>0</v>
      </c>
      <c r="L1090">
        <v>0</v>
      </c>
      <c r="M1090">
        <v>0</v>
      </c>
      <c r="N1090">
        <v>0</v>
      </c>
      <c r="O1090">
        <v>0</v>
      </c>
      <c r="Q1090">
        <v>70.5</v>
      </c>
    </row>
    <row r="1091" spans="1:17">
      <c r="A1091" t="s">
        <v>1137</v>
      </c>
      <c r="B1091" s="8">
        <v>45681</v>
      </c>
      <c r="C1091" t="s">
        <v>2</v>
      </c>
      <c r="D1091" t="s">
        <v>48</v>
      </c>
      <c r="E1091" t="s">
        <v>35</v>
      </c>
      <c r="F1091" t="s">
        <v>36</v>
      </c>
      <c r="G1091" t="s">
        <v>42</v>
      </c>
      <c r="H1091">
        <v>1</v>
      </c>
      <c r="I1091">
        <v>0</v>
      </c>
      <c r="J1091">
        <v>0</v>
      </c>
      <c r="K1091">
        <v>0</v>
      </c>
      <c r="L1091">
        <v>0</v>
      </c>
      <c r="M1091">
        <v>0</v>
      </c>
      <c r="N1091">
        <v>0</v>
      </c>
      <c r="O1091">
        <v>0</v>
      </c>
      <c r="Q1091">
        <v>36.799999999999997</v>
      </c>
    </row>
    <row r="1092" spans="1:17">
      <c r="A1092" t="s">
        <v>1138</v>
      </c>
      <c r="B1092" s="8">
        <v>45789</v>
      </c>
      <c r="C1092" t="s">
        <v>2</v>
      </c>
      <c r="D1092" t="s">
        <v>48</v>
      </c>
      <c r="E1092" t="s">
        <v>40</v>
      </c>
      <c r="F1092" t="s">
        <v>45</v>
      </c>
      <c r="G1092" t="s">
        <v>37</v>
      </c>
      <c r="H1092">
        <v>0</v>
      </c>
      <c r="I1092">
        <v>0</v>
      </c>
      <c r="J1092">
        <v>0</v>
      </c>
      <c r="K1092">
        <v>0</v>
      </c>
      <c r="L1092">
        <v>0</v>
      </c>
      <c r="M1092">
        <v>1</v>
      </c>
      <c r="N1092">
        <v>1</v>
      </c>
      <c r="O1092">
        <v>0</v>
      </c>
      <c r="Q1092">
        <v>73.2</v>
      </c>
    </row>
    <row r="1093" spans="1:17">
      <c r="A1093" t="s">
        <v>1139</v>
      </c>
      <c r="B1093" s="8">
        <v>45746</v>
      </c>
      <c r="C1093" t="s">
        <v>2</v>
      </c>
      <c r="D1093" t="s">
        <v>34</v>
      </c>
      <c r="E1093" t="s">
        <v>40</v>
      </c>
      <c r="F1093" t="s">
        <v>41</v>
      </c>
      <c r="G1093" t="s">
        <v>37</v>
      </c>
      <c r="H1093">
        <v>0</v>
      </c>
      <c r="I1093">
        <v>0</v>
      </c>
      <c r="J1093">
        <v>0</v>
      </c>
      <c r="K1093">
        <v>0</v>
      </c>
      <c r="L1093">
        <v>0</v>
      </c>
      <c r="M1093">
        <v>0</v>
      </c>
      <c r="N1093">
        <v>0</v>
      </c>
      <c r="O1093">
        <v>0</v>
      </c>
      <c r="Q1093">
        <v>70.099999999999994</v>
      </c>
    </row>
    <row r="1094" spans="1:17">
      <c r="A1094" t="s">
        <v>1140</v>
      </c>
      <c r="B1094" s="8">
        <v>45659</v>
      </c>
      <c r="C1094" t="s">
        <v>2</v>
      </c>
      <c r="D1094" t="s">
        <v>48</v>
      </c>
      <c r="E1094" t="s">
        <v>35</v>
      </c>
      <c r="F1094" t="s">
        <v>45</v>
      </c>
      <c r="G1094" t="s">
        <v>37</v>
      </c>
      <c r="H1094">
        <v>1</v>
      </c>
      <c r="I1094">
        <v>0</v>
      </c>
      <c r="J1094">
        <v>0</v>
      </c>
      <c r="K1094">
        <v>0</v>
      </c>
      <c r="L1094">
        <v>0</v>
      </c>
      <c r="M1094">
        <v>0</v>
      </c>
      <c r="N1094">
        <v>0</v>
      </c>
      <c r="O1094">
        <v>0</v>
      </c>
      <c r="Q1094">
        <v>76.400000000000006</v>
      </c>
    </row>
    <row r="1095" spans="1:17">
      <c r="A1095" t="s">
        <v>1141</v>
      </c>
      <c r="B1095" s="8">
        <v>45737</v>
      </c>
      <c r="C1095" t="s">
        <v>2</v>
      </c>
      <c r="D1095" t="s">
        <v>48</v>
      </c>
      <c r="E1095" t="s">
        <v>50</v>
      </c>
      <c r="F1095" t="s">
        <v>36</v>
      </c>
      <c r="G1095" t="s">
        <v>37</v>
      </c>
      <c r="H1095">
        <v>0</v>
      </c>
      <c r="I1095">
        <v>0</v>
      </c>
      <c r="J1095">
        <v>0</v>
      </c>
      <c r="K1095">
        <v>0</v>
      </c>
      <c r="L1095">
        <v>0</v>
      </c>
      <c r="M1095">
        <v>0</v>
      </c>
      <c r="N1095">
        <v>0</v>
      </c>
      <c r="O1095">
        <v>0</v>
      </c>
      <c r="Q1095">
        <v>46.4</v>
      </c>
    </row>
    <row r="1096" spans="1:17">
      <c r="A1096" t="s">
        <v>1142</v>
      </c>
      <c r="B1096" s="8">
        <v>45682</v>
      </c>
      <c r="C1096" t="s">
        <v>2</v>
      </c>
      <c r="D1096" t="s">
        <v>39</v>
      </c>
      <c r="E1096" t="s">
        <v>40</v>
      </c>
      <c r="F1096" t="s">
        <v>41</v>
      </c>
      <c r="G1096" t="s">
        <v>42</v>
      </c>
      <c r="H1096">
        <v>1</v>
      </c>
      <c r="I1096">
        <v>1</v>
      </c>
      <c r="J1096">
        <v>1</v>
      </c>
      <c r="K1096">
        <v>0</v>
      </c>
      <c r="L1096">
        <v>0</v>
      </c>
      <c r="M1096">
        <v>1</v>
      </c>
      <c r="N1096">
        <v>1</v>
      </c>
      <c r="O1096">
        <v>0</v>
      </c>
      <c r="Q1096">
        <v>81.3</v>
      </c>
    </row>
    <row r="1097" spans="1:17">
      <c r="A1097" t="s">
        <v>1143</v>
      </c>
      <c r="B1097" s="8">
        <v>45669</v>
      </c>
      <c r="C1097" t="s">
        <v>2</v>
      </c>
      <c r="D1097" t="s">
        <v>48</v>
      </c>
      <c r="E1097" t="s">
        <v>50</v>
      </c>
      <c r="F1097" t="s">
        <v>57</v>
      </c>
      <c r="G1097" t="s">
        <v>42</v>
      </c>
      <c r="H1097">
        <v>1</v>
      </c>
      <c r="I1097">
        <v>1</v>
      </c>
      <c r="J1097">
        <v>1</v>
      </c>
      <c r="K1097">
        <v>0</v>
      </c>
      <c r="L1097">
        <v>0</v>
      </c>
      <c r="M1097">
        <v>0</v>
      </c>
      <c r="N1097">
        <v>0</v>
      </c>
      <c r="O1097">
        <v>0</v>
      </c>
      <c r="Q1097">
        <v>55.3</v>
      </c>
    </row>
    <row r="1098" spans="1:17">
      <c r="A1098" t="s">
        <v>1144</v>
      </c>
      <c r="B1098" s="8">
        <v>45734</v>
      </c>
      <c r="C1098" t="s">
        <v>2</v>
      </c>
      <c r="D1098" t="s">
        <v>44</v>
      </c>
      <c r="E1098" t="s">
        <v>35</v>
      </c>
      <c r="F1098" t="s">
        <v>55</v>
      </c>
      <c r="G1098" t="s">
        <v>42</v>
      </c>
      <c r="H1098">
        <v>1</v>
      </c>
      <c r="I1098">
        <v>0</v>
      </c>
      <c r="J1098">
        <v>0</v>
      </c>
      <c r="K1098">
        <v>0</v>
      </c>
      <c r="L1098">
        <v>0</v>
      </c>
      <c r="M1098">
        <v>0</v>
      </c>
      <c r="N1098">
        <v>0</v>
      </c>
      <c r="O1098">
        <v>0</v>
      </c>
      <c r="Q1098">
        <v>44.7</v>
      </c>
    </row>
    <row r="1099" spans="1:17">
      <c r="A1099" t="s">
        <v>1145</v>
      </c>
      <c r="B1099" s="8">
        <v>45742</v>
      </c>
      <c r="C1099" t="s">
        <v>2</v>
      </c>
      <c r="D1099" t="s">
        <v>44</v>
      </c>
      <c r="E1099" t="s">
        <v>40</v>
      </c>
      <c r="F1099" t="s">
        <v>45</v>
      </c>
      <c r="G1099" t="s">
        <v>37</v>
      </c>
      <c r="H1099">
        <v>1</v>
      </c>
      <c r="I1099">
        <v>0</v>
      </c>
      <c r="J1099">
        <v>0</v>
      </c>
      <c r="K1099">
        <v>0</v>
      </c>
      <c r="L1099">
        <v>0</v>
      </c>
      <c r="M1099">
        <v>0</v>
      </c>
      <c r="N1099">
        <v>0</v>
      </c>
      <c r="O1099">
        <v>0</v>
      </c>
      <c r="Q1099">
        <v>67.2</v>
      </c>
    </row>
    <row r="1100" spans="1:17">
      <c r="A1100" t="s">
        <v>1146</v>
      </c>
      <c r="B1100" s="8">
        <v>45766</v>
      </c>
      <c r="C1100" t="s">
        <v>2</v>
      </c>
      <c r="D1100" t="s">
        <v>34</v>
      </c>
      <c r="E1100" t="s">
        <v>40</v>
      </c>
      <c r="F1100" t="s">
        <v>45</v>
      </c>
      <c r="G1100" t="s">
        <v>37</v>
      </c>
      <c r="H1100">
        <v>1</v>
      </c>
      <c r="I1100">
        <v>0</v>
      </c>
      <c r="J1100">
        <v>0</v>
      </c>
      <c r="K1100">
        <v>0</v>
      </c>
      <c r="L1100">
        <v>0</v>
      </c>
      <c r="M1100">
        <v>0</v>
      </c>
      <c r="N1100">
        <v>0</v>
      </c>
      <c r="O1100">
        <v>0</v>
      </c>
    </row>
    <row r="1101" spans="1:17">
      <c r="A1101" t="s">
        <v>1147</v>
      </c>
      <c r="B1101" s="8">
        <v>45764</v>
      </c>
      <c r="C1101" t="s">
        <v>2</v>
      </c>
      <c r="D1101" t="s">
        <v>44</v>
      </c>
      <c r="E1101" t="s">
        <v>40</v>
      </c>
      <c r="F1101" t="s">
        <v>41</v>
      </c>
      <c r="G1101" t="s">
        <v>46</v>
      </c>
      <c r="H1101">
        <v>1</v>
      </c>
      <c r="I1101">
        <v>1</v>
      </c>
      <c r="J1101">
        <v>1</v>
      </c>
      <c r="K1101">
        <v>0</v>
      </c>
      <c r="L1101">
        <v>0</v>
      </c>
      <c r="M1101">
        <v>1</v>
      </c>
      <c r="N1101">
        <v>1</v>
      </c>
      <c r="O1101">
        <v>0</v>
      </c>
      <c r="Q1101">
        <v>70.8</v>
      </c>
    </row>
    <row r="1102" spans="1:17">
      <c r="A1102" t="s">
        <v>1148</v>
      </c>
      <c r="B1102" s="8">
        <v>45803</v>
      </c>
      <c r="C1102" t="s">
        <v>2</v>
      </c>
      <c r="D1102" t="s">
        <v>48</v>
      </c>
      <c r="E1102" t="s">
        <v>40</v>
      </c>
      <c r="F1102" t="s">
        <v>45</v>
      </c>
      <c r="G1102" t="s">
        <v>42</v>
      </c>
      <c r="H1102">
        <v>1</v>
      </c>
      <c r="I1102">
        <v>0</v>
      </c>
      <c r="J1102">
        <v>0</v>
      </c>
      <c r="K1102">
        <v>0</v>
      </c>
      <c r="L1102">
        <v>0</v>
      </c>
      <c r="M1102">
        <v>0</v>
      </c>
      <c r="N1102">
        <v>0</v>
      </c>
      <c r="O1102">
        <v>0</v>
      </c>
      <c r="Q1102">
        <v>71.3</v>
      </c>
    </row>
    <row r="1103" spans="1:17">
      <c r="A1103" t="s">
        <v>1149</v>
      </c>
      <c r="B1103" s="8">
        <v>45761</v>
      </c>
      <c r="C1103" t="s">
        <v>2</v>
      </c>
      <c r="D1103" t="s">
        <v>34</v>
      </c>
      <c r="E1103" t="s">
        <v>40</v>
      </c>
      <c r="F1103" t="s">
        <v>57</v>
      </c>
      <c r="G1103" t="s">
        <v>46</v>
      </c>
      <c r="H1103">
        <v>1</v>
      </c>
      <c r="I1103">
        <v>1</v>
      </c>
      <c r="J1103">
        <v>1</v>
      </c>
      <c r="K1103">
        <v>0</v>
      </c>
      <c r="L1103">
        <v>0</v>
      </c>
      <c r="M1103">
        <v>0</v>
      </c>
      <c r="N1103">
        <v>0</v>
      </c>
      <c r="O1103">
        <v>0</v>
      </c>
      <c r="Q1103">
        <v>69.400000000000006</v>
      </c>
    </row>
    <row r="1104" spans="1:17">
      <c r="A1104" t="s">
        <v>1150</v>
      </c>
      <c r="B1104" s="8">
        <v>45680</v>
      </c>
      <c r="C1104" t="s">
        <v>2</v>
      </c>
      <c r="D1104" t="s">
        <v>48</v>
      </c>
      <c r="E1104" t="s">
        <v>40</v>
      </c>
      <c r="F1104" t="s">
        <v>41</v>
      </c>
      <c r="G1104" t="s">
        <v>37</v>
      </c>
      <c r="H1104">
        <v>1</v>
      </c>
      <c r="I1104">
        <v>1</v>
      </c>
      <c r="J1104">
        <v>0</v>
      </c>
      <c r="K1104">
        <v>0</v>
      </c>
      <c r="L1104">
        <v>0</v>
      </c>
      <c r="M1104">
        <v>0</v>
      </c>
      <c r="N1104">
        <v>0</v>
      </c>
      <c r="O1104">
        <v>0</v>
      </c>
      <c r="Q1104">
        <v>58.9</v>
      </c>
    </row>
    <row r="1105" spans="1:17">
      <c r="A1105" t="s">
        <v>1151</v>
      </c>
      <c r="B1105" s="8">
        <v>45663</v>
      </c>
      <c r="C1105" t="s">
        <v>2</v>
      </c>
      <c r="D1105" t="s">
        <v>44</v>
      </c>
      <c r="E1105" t="s">
        <v>40</v>
      </c>
      <c r="F1105" t="s">
        <v>55</v>
      </c>
      <c r="G1105" t="s">
        <v>42</v>
      </c>
      <c r="H1105">
        <v>0</v>
      </c>
      <c r="I1105">
        <v>0</v>
      </c>
      <c r="J1105">
        <v>0</v>
      </c>
      <c r="K1105">
        <v>0</v>
      </c>
      <c r="L1105">
        <v>0</v>
      </c>
      <c r="M1105">
        <v>0</v>
      </c>
      <c r="N1105">
        <v>0</v>
      </c>
      <c r="O1105">
        <v>0</v>
      </c>
      <c r="Q1105">
        <v>70.7</v>
      </c>
    </row>
    <row r="1106" spans="1:17">
      <c r="A1106" t="s">
        <v>1152</v>
      </c>
      <c r="B1106" s="8">
        <v>45808</v>
      </c>
      <c r="C1106" t="s">
        <v>2</v>
      </c>
      <c r="D1106" t="s">
        <v>39</v>
      </c>
      <c r="E1106" t="s">
        <v>40</v>
      </c>
      <c r="F1106" t="s">
        <v>36</v>
      </c>
      <c r="G1106" t="s">
        <v>37</v>
      </c>
      <c r="H1106">
        <v>1</v>
      </c>
      <c r="I1106">
        <v>0</v>
      </c>
      <c r="J1106">
        <v>0</v>
      </c>
      <c r="K1106">
        <v>0</v>
      </c>
      <c r="L1106">
        <v>0</v>
      </c>
      <c r="M1106">
        <v>0</v>
      </c>
      <c r="N1106">
        <v>0</v>
      </c>
      <c r="O1106">
        <v>0</v>
      </c>
      <c r="Q1106">
        <v>60.5</v>
      </c>
    </row>
    <row r="1107" spans="1:17">
      <c r="A1107" t="s">
        <v>1153</v>
      </c>
      <c r="B1107" s="8">
        <v>45796</v>
      </c>
      <c r="C1107" t="s">
        <v>2</v>
      </c>
      <c r="D1107" t="s">
        <v>34</v>
      </c>
      <c r="E1107" t="s">
        <v>40</v>
      </c>
      <c r="F1107" t="s">
        <v>41</v>
      </c>
      <c r="G1107" t="s">
        <v>37</v>
      </c>
      <c r="H1107">
        <v>1</v>
      </c>
      <c r="I1107">
        <v>1</v>
      </c>
      <c r="J1107">
        <v>1</v>
      </c>
      <c r="K1107">
        <v>0</v>
      </c>
      <c r="L1107">
        <v>0</v>
      </c>
      <c r="M1107">
        <v>0</v>
      </c>
      <c r="N1107">
        <v>0</v>
      </c>
      <c r="O1107">
        <v>0</v>
      </c>
      <c r="Q1107">
        <v>77.3</v>
      </c>
    </row>
    <row r="1108" spans="1:17">
      <c r="A1108" t="s">
        <v>1154</v>
      </c>
      <c r="B1108" s="8">
        <v>45713</v>
      </c>
      <c r="C1108" t="s">
        <v>2</v>
      </c>
      <c r="D1108" t="s">
        <v>34</v>
      </c>
      <c r="E1108" t="s">
        <v>40</v>
      </c>
      <c r="F1108" t="s">
        <v>41</v>
      </c>
      <c r="G1108" t="s">
        <v>42</v>
      </c>
      <c r="H1108">
        <v>0</v>
      </c>
      <c r="I1108">
        <v>0</v>
      </c>
      <c r="J1108">
        <v>0</v>
      </c>
      <c r="K1108">
        <v>0</v>
      </c>
      <c r="L1108">
        <v>0</v>
      </c>
      <c r="M1108">
        <v>1</v>
      </c>
      <c r="N1108">
        <v>1</v>
      </c>
      <c r="O1108">
        <v>0</v>
      </c>
      <c r="Q1108">
        <v>39.5</v>
      </c>
    </row>
    <row r="1109" spans="1:17">
      <c r="A1109" t="s">
        <v>1155</v>
      </c>
      <c r="B1109" s="8">
        <v>45667</v>
      </c>
      <c r="C1109" t="s">
        <v>2</v>
      </c>
      <c r="D1109" t="s">
        <v>48</v>
      </c>
      <c r="E1109" t="s">
        <v>50</v>
      </c>
      <c r="F1109" t="s">
        <v>41</v>
      </c>
      <c r="G1109" t="s">
        <v>37</v>
      </c>
      <c r="H1109">
        <v>1</v>
      </c>
      <c r="I1109">
        <v>0</v>
      </c>
      <c r="J1109">
        <v>0</v>
      </c>
      <c r="K1109">
        <v>0</v>
      </c>
      <c r="L1109">
        <v>0</v>
      </c>
      <c r="M1109">
        <v>0</v>
      </c>
      <c r="N1109">
        <v>0</v>
      </c>
      <c r="O1109">
        <v>0</v>
      </c>
      <c r="Q1109">
        <v>68.099999999999994</v>
      </c>
    </row>
    <row r="1110" spans="1:17">
      <c r="A1110" t="s">
        <v>1156</v>
      </c>
      <c r="B1110" s="8">
        <v>45790</v>
      </c>
      <c r="C1110" t="s">
        <v>2</v>
      </c>
      <c r="D1110" t="s">
        <v>34</v>
      </c>
      <c r="E1110" t="s">
        <v>50</v>
      </c>
      <c r="F1110" t="s">
        <v>45</v>
      </c>
      <c r="G1110" t="s">
        <v>42</v>
      </c>
      <c r="H1110">
        <v>0</v>
      </c>
      <c r="I1110">
        <v>0</v>
      </c>
      <c r="J1110">
        <v>0</v>
      </c>
      <c r="K1110">
        <v>0</v>
      </c>
      <c r="L1110">
        <v>0</v>
      </c>
      <c r="M1110">
        <v>0</v>
      </c>
      <c r="N1110">
        <v>0</v>
      </c>
      <c r="O1110">
        <v>0</v>
      </c>
      <c r="Q1110">
        <v>80.3</v>
      </c>
    </row>
    <row r="1111" spans="1:17">
      <c r="A1111" t="s">
        <v>1157</v>
      </c>
      <c r="B1111" s="8">
        <v>45774</v>
      </c>
      <c r="C1111" t="s">
        <v>2</v>
      </c>
      <c r="D1111" t="s">
        <v>39</v>
      </c>
      <c r="E1111" t="s">
        <v>35</v>
      </c>
      <c r="F1111" t="s">
        <v>41</v>
      </c>
      <c r="G1111" t="s">
        <v>46</v>
      </c>
      <c r="H1111">
        <v>1</v>
      </c>
      <c r="I1111">
        <v>0</v>
      </c>
      <c r="J1111">
        <v>0</v>
      </c>
      <c r="K1111">
        <v>0</v>
      </c>
      <c r="L1111">
        <v>0</v>
      </c>
      <c r="M1111">
        <v>0</v>
      </c>
      <c r="N1111">
        <v>0</v>
      </c>
      <c r="O1111">
        <v>0</v>
      </c>
      <c r="Q1111">
        <v>77.7</v>
      </c>
    </row>
    <row r="1112" spans="1:17">
      <c r="A1112" t="s">
        <v>1158</v>
      </c>
      <c r="B1112" s="8">
        <v>45750</v>
      </c>
      <c r="C1112" t="s">
        <v>2</v>
      </c>
      <c r="D1112" t="s">
        <v>48</v>
      </c>
      <c r="E1112" t="s">
        <v>40</v>
      </c>
      <c r="F1112" t="s">
        <v>41</v>
      </c>
      <c r="G1112" t="s">
        <v>42</v>
      </c>
      <c r="H1112">
        <v>1</v>
      </c>
      <c r="I1112">
        <v>0</v>
      </c>
      <c r="J1112">
        <v>0</v>
      </c>
      <c r="K1112">
        <v>0</v>
      </c>
      <c r="L1112">
        <v>0</v>
      </c>
      <c r="M1112">
        <v>1</v>
      </c>
      <c r="N1112">
        <v>1</v>
      </c>
      <c r="O1112">
        <v>0</v>
      </c>
      <c r="Q1112">
        <v>66.2</v>
      </c>
    </row>
    <row r="1113" spans="1:17">
      <c r="A1113" t="s">
        <v>1159</v>
      </c>
      <c r="B1113" s="8">
        <v>45742</v>
      </c>
      <c r="C1113" t="s">
        <v>2</v>
      </c>
      <c r="D1113" t="s">
        <v>48</v>
      </c>
      <c r="E1113" t="s">
        <v>40</v>
      </c>
      <c r="F1113" t="s">
        <v>41</v>
      </c>
      <c r="G1113" t="s">
        <v>42</v>
      </c>
      <c r="H1113">
        <v>1</v>
      </c>
      <c r="I1113">
        <v>1</v>
      </c>
      <c r="J1113">
        <v>1</v>
      </c>
      <c r="K1113">
        <v>0</v>
      </c>
      <c r="L1113">
        <v>0</v>
      </c>
      <c r="M1113">
        <v>1</v>
      </c>
      <c r="N1113">
        <v>1</v>
      </c>
      <c r="O1113">
        <v>0</v>
      </c>
      <c r="Q1113">
        <v>43.9</v>
      </c>
    </row>
    <row r="1114" spans="1:17">
      <c r="A1114" t="s">
        <v>1160</v>
      </c>
      <c r="B1114" s="8">
        <v>45688</v>
      </c>
      <c r="C1114" t="s">
        <v>2</v>
      </c>
      <c r="D1114" t="s">
        <v>48</v>
      </c>
      <c r="E1114" t="s">
        <v>40</v>
      </c>
      <c r="F1114" t="s">
        <v>41</v>
      </c>
      <c r="G1114" t="s">
        <v>37</v>
      </c>
      <c r="H1114">
        <v>1</v>
      </c>
      <c r="I1114">
        <v>1</v>
      </c>
      <c r="J1114">
        <v>1</v>
      </c>
      <c r="K1114">
        <v>0</v>
      </c>
      <c r="L1114">
        <v>0</v>
      </c>
      <c r="M1114">
        <v>2</v>
      </c>
      <c r="N1114">
        <v>1</v>
      </c>
      <c r="O1114">
        <v>0</v>
      </c>
      <c r="Q1114">
        <v>59.1</v>
      </c>
    </row>
    <row r="1115" spans="1:17">
      <c r="A1115" t="s">
        <v>1161</v>
      </c>
      <c r="B1115" s="8">
        <v>45682</v>
      </c>
      <c r="C1115" t="s">
        <v>2</v>
      </c>
      <c r="D1115" t="s">
        <v>48</v>
      </c>
      <c r="E1115" t="s">
        <v>40</v>
      </c>
      <c r="F1115" t="s">
        <v>57</v>
      </c>
      <c r="G1115" t="s">
        <v>42</v>
      </c>
      <c r="H1115">
        <v>1</v>
      </c>
      <c r="I1115">
        <v>1</v>
      </c>
      <c r="J1115">
        <v>1</v>
      </c>
      <c r="K1115">
        <v>1</v>
      </c>
      <c r="L1115">
        <v>416.94</v>
      </c>
      <c r="M1115">
        <v>1</v>
      </c>
      <c r="N1115">
        <v>1</v>
      </c>
      <c r="O1115">
        <v>0</v>
      </c>
      <c r="P1115">
        <v>11</v>
      </c>
      <c r="Q1115">
        <v>67</v>
      </c>
    </row>
    <row r="1116" spans="1:17">
      <c r="A1116" t="s">
        <v>1162</v>
      </c>
      <c r="B1116" s="8">
        <v>45694</v>
      </c>
      <c r="C1116" t="s">
        <v>2</v>
      </c>
      <c r="D1116" t="s">
        <v>39</v>
      </c>
      <c r="E1116" t="s">
        <v>40</v>
      </c>
      <c r="F1116" t="s">
        <v>55</v>
      </c>
      <c r="G1116" t="s">
        <v>37</v>
      </c>
      <c r="H1116">
        <v>1</v>
      </c>
      <c r="I1116">
        <v>0</v>
      </c>
      <c r="J1116">
        <v>0</v>
      </c>
      <c r="K1116">
        <v>0</v>
      </c>
      <c r="L1116">
        <v>0</v>
      </c>
      <c r="M1116">
        <v>0</v>
      </c>
      <c r="N1116">
        <v>0</v>
      </c>
      <c r="O1116">
        <v>0</v>
      </c>
      <c r="Q1116">
        <v>47.9</v>
      </c>
    </row>
    <row r="1117" spans="1:17">
      <c r="A1117" t="s">
        <v>1163</v>
      </c>
      <c r="B1117" s="8">
        <v>45726</v>
      </c>
      <c r="C1117" t="s">
        <v>2</v>
      </c>
      <c r="D1117" t="s">
        <v>44</v>
      </c>
      <c r="E1117" t="s">
        <v>40</v>
      </c>
      <c r="F1117" t="s">
        <v>45</v>
      </c>
      <c r="G1117" t="s">
        <v>42</v>
      </c>
      <c r="H1117">
        <v>1</v>
      </c>
      <c r="I1117">
        <v>1</v>
      </c>
      <c r="J1117">
        <v>0</v>
      </c>
      <c r="K1117">
        <v>0</v>
      </c>
      <c r="L1117">
        <v>0</v>
      </c>
      <c r="M1117">
        <v>0</v>
      </c>
      <c r="N1117">
        <v>0</v>
      </c>
      <c r="O1117">
        <v>0</v>
      </c>
      <c r="Q1117">
        <v>41.5</v>
      </c>
    </row>
    <row r="1118" spans="1:17">
      <c r="A1118" t="s">
        <v>1164</v>
      </c>
      <c r="B1118" s="8">
        <v>45683</v>
      </c>
      <c r="C1118" t="s">
        <v>2</v>
      </c>
      <c r="D1118" t="s">
        <v>39</v>
      </c>
      <c r="E1118" t="s">
        <v>40</v>
      </c>
      <c r="F1118" t="s">
        <v>41</v>
      </c>
      <c r="G1118" t="s">
        <v>37</v>
      </c>
      <c r="H1118">
        <v>1</v>
      </c>
      <c r="I1118">
        <v>1</v>
      </c>
      <c r="J1118">
        <v>1</v>
      </c>
      <c r="K1118">
        <v>0</v>
      </c>
      <c r="L1118">
        <v>0</v>
      </c>
      <c r="M1118">
        <v>3</v>
      </c>
      <c r="N1118">
        <v>1</v>
      </c>
      <c r="O1118">
        <v>0</v>
      </c>
      <c r="Q1118">
        <v>30.6</v>
      </c>
    </row>
    <row r="1119" spans="1:17">
      <c r="A1119" t="s">
        <v>1165</v>
      </c>
      <c r="B1119" s="8">
        <v>45658</v>
      </c>
      <c r="C1119" t="s">
        <v>2</v>
      </c>
      <c r="D1119" t="s">
        <v>44</v>
      </c>
      <c r="E1119" t="s">
        <v>40</v>
      </c>
      <c r="F1119" t="s">
        <v>45</v>
      </c>
      <c r="G1119" t="s">
        <v>42</v>
      </c>
      <c r="H1119">
        <v>1</v>
      </c>
      <c r="I1119">
        <v>1</v>
      </c>
      <c r="J1119">
        <v>0</v>
      </c>
      <c r="K1119">
        <v>0</v>
      </c>
      <c r="L1119">
        <v>0</v>
      </c>
      <c r="M1119">
        <v>0</v>
      </c>
      <c r="N1119">
        <v>0</v>
      </c>
      <c r="O1119">
        <v>0</v>
      </c>
      <c r="Q1119">
        <v>91.5</v>
      </c>
    </row>
    <row r="1120" spans="1:17">
      <c r="A1120" t="s">
        <v>1166</v>
      </c>
      <c r="B1120" s="8">
        <v>45775</v>
      </c>
      <c r="C1120" t="s">
        <v>2</v>
      </c>
      <c r="D1120" t="s">
        <v>34</v>
      </c>
      <c r="E1120" t="s">
        <v>35</v>
      </c>
      <c r="F1120" t="s">
        <v>57</v>
      </c>
      <c r="G1120" t="s">
        <v>37</v>
      </c>
      <c r="H1120">
        <v>1</v>
      </c>
      <c r="I1120">
        <v>0</v>
      </c>
      <c r="J1120">
        <v>0</v>
      </c>
      <c r="K1120">
        <v>0</v>
      </c>
      <c r="L1120">
        <v>0</v>
      </c>
      <c r="M1120">
        <v>0</v>
      </c>
      <c r="N1120">
        <v>0</v>
      </c>
      <c r="O1120">
        <v>0</v>
      </c>
      <c r="Q1120">
        <v>80.8</v>
      </c>
    </row>
    <row r="1121" spans="1:17">
      <c r="A1121" t="s">
        <v>1167</v>
      </c>
      <c r="B1121" s="8">
        <v>45751</v>
      </c>
      <c r="C1121" t="s">
        <v>2</v>
      </c>
      <c r="D1121" t="s">
        <v>34</v>
      </c>
      <c r="E1121" t="s">
        <v>40</v>
      </c>
      <c r="F1121" t="s">
        <v>41</v>
      </c>
      <c r="G1121" t="s">
        <v>46</v>
      </c>
      <c r="H1121">
        <v>1</v>
      </c>
      <c r="I1121">
        <v>0</v>
      </c>
      <c r="J1121">
        <v>0</v>
      </c>
      <c r="K1121">
        <v>0</v>
      </c>
      <c r="L1121">
        <v>0</v>
      </c>
      <c r="M1121">
        <v>0</v>
      </c>
      <c r="N1121">
        <v>0</v>
      </c>
      <c r="O1121">
        <v>0</v>
      </c>
      <c r="Q1121">
        <v>68.099999999999994</v>
      </c>
    </row>
    <row r="1122" spans="1:17">
      <c r="A1122" t="s">
        <v>1168</v>
      </c>
      <c r="B1122" s="8">
        <v>45718</v>
      </c>
      <c r="C1122" t="s">
        <v>2</v>
      </c>
      <c r="D1122" t="s">
        <v>44</v>
      </c>
      <c r="E1122" t="s">
        <v>40</v>
      </c>
      <c r="F1122" t="s">
        <v>45</v>
      </c>
      <c r="G1122" t="s">
        <v>42</v>
      </c>
      <c r="H1122">
        <v>1</v>
      </c>
      <c r="I1122">
        <v>0</v>
      </c>
      <c r="J1122">
        <v>0</v>
      </c>
      <c r="K1122">
        <v>0</v>
      </c>
      <c r="L1122">
        <v>0</v>
      </c>
      <c r="M1122">
        <v>0</v>
      </c>
      <c r="N1122">
        <v>0</v>
      </c>
      <c r="O1122">
        <v>0</v>
      </c>
      <c r="Q1122">
        <v>80.3</v>
      </c>
    </row>
    <row r="1123" spans="1:17">
      <c r="A1123" t="s">
        <v>1169</v>
      </c>
      <c r="B1123" s="8">
        <v>45735</v>
      </c>
      <c r="C1123" t="s">
        <v>2</v>
      </c>
      <c r="D1123" t="s">
        <v>48</v>
      </c>
      <c r="E1123" t="s">
        <v>50</v>
      </c>
      <c r="F1123" t="s">
        <v>41</v>
      </c>
      <c r="G1123" t="s">
        <v>37</v>
      </c>
      <c r="H1123">
        <v>1</v>
      </c>
      <c r="I1123">
        <v>0</v>
      </c>
      <c r="J1123">
        <v>0</v>
      </c>
      <c r="K1123">
        <v>0</v>
      </c>
      <c r="L1123">
        <v>0</v>
      </c>
      <c r="M1123">
        <v>0</v>
      </c>
      <c r="N1123">
        <v>0</v>
      </c>
      <c r="O1123">
        <v>0</v>
      </c>
      <c r="Q1123">
        <v>44.4</v>
      </c>
    </row>
    <row r="1124" spans="1:17">
      <c r="A1124" t="s">
        <v>1170</v>
      </c>
      <c r="B1124" s="8">
        <v>45677</v>
      </c>
      <c r="C1124" t="s">
        <v>2</v>
      </c>
      <c r="D1124" t="s">
        <v>48</v>
      </c>
      <c r="E1124" t="s">
        <v>35</v>
      </c>
      <c r="F1124" t="s">
        <v>41</v>
      </c>
      <c r="G1124" t="s">
        <v>37</v>
      </c>
      <c r="H1124">
        <v>0</v>
      </c>
      <c r="I1124">
        <v>0</v>
      </c>
      <c r="J1124">
        <v>0</v>
      </c>
      <c r="K1124">
        <v>0</v>
      </c>
      <c r="L1124">
        <v>0</v>
      </c>
      <c r="M1124">
        <v>0</v>
      </c>
      <c r="N1124">
        <v>0</v>
      </c>
      <c r="O1124">
        <v>0</v>
      </c>
      <c r="Q1124">
        <v>51.9</v>
      </c>
    </row>
    <row r="1125" spans="1:17">
      <c r="A1125" t="s">
        <v>1171</v>
      </c>
      <c r="B1125" s="8">
        <v>45750</v>
      </c>
      <c r="C1125" t="s">
        <v>2</v>
      </c>
      <c r="D1125" t="s">
        <v>44</v>
      </c>
      <c r="E1125" t="s">
        <v>40</v>
      </c>
      <c r="F1125" t="s">
        <v>45</v>
      </c>
      <c r="G1125" t="s">
        <v>42</v>
      </c>
      <c r="H1125">
        <v>1</v>
      </c>
      <c r="I1125">
        <v>1</v>
      </c>
      <c r="J1125">
        <v>0</v>
      </c>
      <c r="K1125">
        <v>0</v>
      </c>
      <c r="L1125">
        <v>0</v>
      </c>
      <c r="M1125">
        <v>0</v>
      </c>
      <c r="N1125">
        <v>0</v>
      </c>
      <c r="O1125">
        <v>0</v>
      </c>
      <c r="Q1125">
        <v>49.8</v>
      </c>
    </row>
    <row r="1126" spans="1:17">
      <c r="A1126" t="s">
        <v>1172</v>
      </c>
      <c r="B1126" s="8">
        <v>45668</v>
      </c>
      <c r="C1126" t="s">
        <v>2</v>
      </c>
      <c r="D1126" t="s">
        <v>44</v>
      </c>
      <c r="E1126" t="s">
        <v>35</v>
      </c>
      <c r="F1126" t="s">
        <v>57</v>
      </c>
      <c r="G1126" t="s">
        <v>42</v>
      </c>
      <c r="H1126">
        <v>1</v>
      </c>
      <c r="I1126">
        <v>1</v>
      </c>
      <c r="J1126">
        <v>1</v>
      </c>
      <c r="K1126">
        <v>0</v>
      </c>
      <c r="L1126">
        <v>0</v>
      </c>
      <c r="M1126">
        <v>3</v>
      </c>
      <c r="N1126">
        <v>1</v>
      </c>
      <c r="O1126">
        <v>0</v>
      </c>
      <c r="Q1126">
        <v>62.1</v>
      </c>
    </row>
    <row r="1127" spans="1:17">
      <c r="A1127" t="s">
        <v>1173</v>
      </c>
      <c r="B1127" s="8">
        <v>45690</v>
      </c>
      <c r="C1127" t="s">
        <v>2</v>
      </c>
      <c r="D1127" t="s">
        <v>39</v>
      </c>
      <c r="E1127" t="s">
        <v>35</v>
      </c>
      <c r="F1127" t="s">
        <v>57</v>
      </c>
      <c r="G1127" t="s">
        <v>37</v>
      </c>
      <c r="H1127">
        <v>1</v>
      </c>
      <c r="I1127">
        <v>0</v>
      </c>
      <c r="J1127">
        <v>0</v>
      </c>
      <c r="K1127">
        <v>0</v>
      </c>
      <c r="L1127">
        <v>0</v>
      </c>
      <c r="M1127">
        <v>0</v>
      </c>
      <c r="N1127">
        <v>0</v>
      </c>
      <c r="O1127">
        <v>0</v>
      </c>
      <c r="Q1127">
        <v>91.3</v>
      </c>
    </row>
    <row r="1128" spans="1:17">
      <c r="A1128" t="s">
        <v>1174</v>
      </c>
      <c r="B1128" s="8">
        <v>45748</v>
      </c>
      <c r="C1128" t="s">
        <v>2</v>
      </c>
      <c r="D1128" t="s">
        <v>48</v>
      </c>
      <c r="E1128" t="s">
        <v>40</v>
      </c>
      <c r="F1128" t="s">
        <v>41</v>
      </c>
      <c r="G1128" t="s">
        <v>37</v>
      </c>
      <c r="H1128">
        <v>1</v>
      </c>
      <c r="I1128">
        <v>0</v>
      </c>
      <c r="J1128">
        <v>0</v>
      </c>
      <c r="K1128">
        <v>0</v>
      </c>
      <c r="L1128">
        <v>0</v>
      </c>
      <c r="M1128">
        <v>0</v>
      </c>
      <c r="N1128">
        <v>0</v>
      </c>
      <c r="O1128">
        <v>0</v>
      </c>
      <c r="Q1128">
        <v>66.400000000000006</v>
      </c>
    </row>
    <row r="1129" spans="1:17">
      <c r="A1129" t="s">
        <v>1175</v>
      </c>
      <c r="B1129" s="8">
        <v>45799</v>
      </c>
      <c r="C1129" t="s">
        <v>2</v>
      </c>
      <c r="D1129" t="s">
        <v>44</v>
      </c>
      <c r="E1129" t="s">
        <v>40</v>
      </c>
      <c r="F1129" t="s">
        <v>41</v>
      </c>
      <c r="G1129" t="s">
        <v>37</v>
      </c>
      <c r="H1129">
        <v>1</v>
      </c>
      <c r="I1129">
        <v>0</v>
      </c>
      <c r="J1129">
        <v>0</v>
      </c>
      <c r="K1129">
        <v>0</v>
      </c>
      <c r="L1129">
        <v>0</v>
      </c>
      <c r="M1129">
        <v>0</v>
      </c>
      <c r="N1129">
        <v>0</v>
      </c>
      <c r="O1129">
        <v>0</v>
      </c>
      <c r="Q1129">
        <v>41.5</v>
      </c>
    </row>
    <row r="1130" spans="1:17">
      <c r="A1130" t="s">
        <v>1176</v>
      </c>
      <c r="B1130" s="8">
        <v>45708</v>
      </c>
      <c r="C1130" t="s">
        <v>2</v>
      </c>
      <c r="D1130" t="s">
        <v>39</v>
      </c>
      <c r="E1130" t="s">
        <v>40</v>
      </c>
      <c r="F1130" t="s">
        <v>41</v>
      </c>
      <c r="G1130" t="s">
        <v>37</v>
      </c>
      <c r="H1130">
        <v>0</v>
      </c>
      <c r="I1130">
        <v>0</v>
      </c>
      <c r="J1130">
        <v>0</v>
      </c>
      <c r="K1130">
        <v>0</v>
      </c>
      <c r="L1130">
        <v>0</v>
      </c>
      <c r="M1130">
        <v>0</v>
      </c>
      <c r="N1130">
        <v>0</v>
      </c>
      <c r="O1130">
        <v>0</v>
      </c>
      <c r="Q1130">
        <v>77.099999999999994</v>
      </c>
    </row>
    <row r="1131" spans="1:17">
      <c r="A1131" t="s">
        <v>1177</v>
      </c>
      <c r="B1131" s="8">
        <v>45737</v>
      </c>
      <c r="C1131" t="s">
        <v>2</v>
      </c>
      <c r="D1131" t="s">
        <v>39</v>
      </c>
      <c r="E1131" t="s">
        <v>40</v>
      </c>
      <c r="F1131" t="s">
        <v>41</v>
      </c>
      <c r="G1131" t="s">
        <v>42</v>
      </c>
      <c r="H1131">
        <v>1</v>
      </c>
      <c r="I1131">
        <v>0</v>
      </c>
      <c r="J1131">
        <v>0</v>
      </c>
      <c r="K1131">
        <v>0</v>
      </c>
      <c r="L1131">
        <v>0</v>
      </c>
      <c r="M1131">
        <v>0</v>
      </c>
      <c r="N1131">
        <v>0</v>
      </c>
      <c r="O1131">
        <v>0</v>
      </c>
      <c r="Q1131">
        <v>63.2</v>
      </c>
    </row>
    <row r="1132" spans="1:17">
      <c r="A1132" t="s">
        <v>1178</v>
      </c>
      <c r="B1132" s="8">
        <v>45778</v>
      </c>
      <c r="C1132" t="s">
        <v>2</v>
      </c>
      <c r="D1132" t="s">
        <v>39</v>
      </c>
      <c r="E1132" t="s">
        <v>35</v>
      </c>
      <c r="F1132" t="s">
        <v>55</v>
      </c>
      <c r="G1132" t="s">
        <v>42</v>
      </c>
      <c r="H1132">
        <v>1</v>
      </c>
      <c r="I1132">
        <v>1</v>
      </c>
      <c r="J1132">
        <v>1</v>
      </c>
      <c r="K1132">
        <v>0</v>
      </c>
      <c r="L1132">
        <v>0</v>
      </c>
      <c r="M1132">
        <v>3</v>
      </c>
      <c r="N1132">
        <v>1</v>
      </c>
      <c r="O1132">
        <v>0</v>
      </c>
      <c r="Q1132">
        <v>75.7</v>
      </c>
    </row>
    <row r="1133" spans="1:17">
      <c r="A1133" t="s">
        <v>1179</v>
      </c>
      <c r="B1133" s="8">
        <v>45663</v>
      </c>
      <c r="C1133" t="s">
        <v>2</v>
      </c>
      <c r="D1133" t="s">
        <v>39</v>
      </c>
      <c r="E1133" t="s">
        <v>40</v>
      </c>
      <c r="F1133" t="s">
        <v>45</v>
      </c>
      <c r="G1133" t="s">
        <v>37</v>
      </c>
      <c r="H1133">
        <v>0</v>
      </c>
      <c r="I1133">
        <v>0</v>
      </c>
      <c r="J1133">
        <v>0</v>
      </c>
      <c r="K1133">
        <v>0</v>
      </c>
      <c r="L1133">
        <v>0</v>
      </c>
      <c r="M1133">
        <v>0</v>
      </c>
      <c r="N1133">
        <v>0</v>
      </c>
      <c r="O1133">
        <v>0</v>
      </c>
      <c r="Q1133">
        <v>62.9</v>
      </c>
    </row>
    <row r="1134" spans="1:17">
      <c r="A1134" t="s">
        <v>1180</v>
      </c>
      <c r="B1134" s="8">
        <v>45759</v>
      </c>
      <c r="C1134" t="s">
        <v>2</v>
      </c>
      <c r="D1134" t="s">
        <v>34</v>
      </c>
      <c r="E1134" t="s">
        <v>35</v>
      </c>
      <c r="F1134" t="s">
        <v>45</v>
      </c>
      <c r="G1134" t="s">
        <v>46</v>
      </c>
      <c r="H1134">
        <v>1</v>
      </c>
      <c r="I1134">
        <v>0</v>
      </c>
      <c r="J1134">
        <v>0</v>
      </c>
      <c r="K1134">
        <v>0</v>
      </c>
      <c r="L1134">
        <v>0</v>
      </c>
      <c r="M1134">
        <v>3</v>
      </c>
      <c r="N1134">
        <v>1</v>
      </c>
      <c r="O1134">
        <v>0</v>
      </c>
      <c r="Q1134">
        <v>64.599999999999994</v>
      </c>
    </row>
    <row r="1135" spans="1:17">
      <c r="A1135" t="s">
        <v>1181</v>
      </c>
      <c r="B1135" s="8">
        <v>45765</v>
      </c>
      <c r="C1135" t="s">
        <v>2</v>
      </c>
      <c r="D1135" t="s">
        <v>34</v>
      </c>
      <c r="E1135" t="s">
        <v>40</v>
      </c>
      <c r="G1135" t="s">
        <v>37</v>
      </c>
      <c r="H1135">
        <v>1</v>
      </c>
      <c r="I1135">
        <v>0</v>
      </c>
      <c r="J1135">
        <v>0</v>
      </c>
      <c r="K1135">
        <v>0</v>
      </c>
      <c r="L1135">
        <v>0</v>
      </c>
      <c r="M1135">
        <v>0</v>
      </c>
      <c r="N1135">
        <v>0</v>
      </c>
      <c r="O1135">
        <v>0</v>
      </c>
      <c r="Q1135">
        <v>76.599999999999994</v>
      </c>
    </row>
    <row r="1136" spans="1:17">
      <c r="A1136" t="s">
        <v>1182</v>
      </c>
      <c r="B1136" s="8">
        <v>45740</v>
      </c>
      <c r="C1136" t="s">
        <v>2</v>
      </c>
      <c r="D1136" t="s">
        <v>44</v>
      </c>
      <c r="E1136" t="s">
        <v>40</v>
      </c>
      <c r="F1136" t="s">
        <v>57</v>
      </c>
      <c r="G1136" t="s">
        <v>37</v>
      </c>
      <c r="H1136">
        <v>1</v>
      </c>
      <c r="I1136">
        <v>0</v>
      </c>
      <c r="J1136">
        <v>0</v>
      </c>
      <c r="K1136">
        <v>0</v>
      </c>
      <c r="L1136">
        <v>0</v>
      </c>
      <c r="M1136">
        <v>0</v>
      </c>
      <c r="N1136">
        <v>0</v>
      </c>
      <c r="O1136">
        <v>0</v>
      </c>
      <c r="Q1136">
        <v>74.8</v>
      </c>
    </row>
    <row r="1137" spans="1:17">
      <c r="A1137" t="s">
        <v>1183</v>
      </c>
      <c r="B1137" s="8">
        <v>45734</v>
      </c>
      <c r="C1137" t="s">
        <v>2</v>
      </c>
      <c r="D1137" t="s">
        <v>44</v>
      </c>
      <c r="E1137" t="s">
        <v>35</v>
      </c>
      <c r="F1137" t="s">
        <v>36</v>
      </c>
      <c r="G1137" t="s">
        <v>46</v>
      </c>
      <c r="H1137">
        <v>1</v>
      </c>
      <c r="I1137">
        <v>0</v>
      </c>
      <c r="J1137">
        <v>0</v>
      </c>
      <c r="K1137">
        <v>0</v>
      </c>
      <c r="L1137">
        <v>0</v>
      </c>
      <c r="M1137">
        <v>2</v>
      </c>
      <c r="N1137">
        <v>1</v>
      </c>
      <c r="O1137">
        <v>0</v>
      </c>
      <c r="Q1137">
        <v>38.1</v>
      </c>
    </row>
    <row r="1138" spans="1:17">
      <c r="A1138" t="s">
        <v>1184</v>
      </c>
      <c r="B1138" s="8">
        <v>45777</v>
      </c>
      <c r="C1138" t="s">
        <v>2</v>
      </c>
      <c r="D1138" t="s">
        <v>48</v>
      </c>
      <c r="E1138" t="s">
        <v>50</v>
      </c>
      <c r="F1138" t="s">
        <v>45</v>
      </c>
      <c r="G1138" t="s">
        <v>37</v>
      </c>
      <c r="H1138">
        <v>1</v>
      </c>
      <c r="I1138">
        <v>1</v>
      </c>
      <c r="J1138">
        <v>0</v>
      </c>
      <c r="K1138">
        <v>0</v>
      </c>
      <c r="L1138">
        <v>0</v>
      </c>
      <c r="M1138">
        <v>0</v>
      </c>
      <c r="N1138">
        <v>0</v>
      </c>
      <c r="O1138">
        <v>0</v>
      </c>
      <c r="Q1138">
        <v>60.2</v>
      </c>
    </row>
    <row r="1139" spans="1:17">
      <c r="A1139" t="s">
        <v>1185</v>
      </c>
      <c r="B1139" s="8">
        <v>45682</v>
      </c>
      <c r="C1139" t="s">
        <v>2</v>
      </c>
      <c r="D1139" t="s">
        <v>39</v>
      </c>
      <c r="E1139" t="s">
        <v>40</v>
      </c>
      <c r="F1139" t="s">
        <v>36</v>
      </c>
      <c r="G1139" t="s">
        <v>42</v>
      </c>
      <c r="H1139">
        <v>1</v>
      </c>
      <c r="I1139">
        <v>1</v>
      </c>
      <c r="J1139">
        <v>0</v>
      </c>
      <c r="K1139">
        <v>0</v>
      </c>
      <c r="L1139">
        <v>0</v>
      </c>
      <c r="M1139">
        <v>0</v>
      </c>
      <c r="N1139">
        <v>0</v>
      </c>
      <c r="O1139">
        <v>0</v>
      </c>
      <c r="Q1139">
        <v>73.5</v>
      </c>
    </row>
    <row r="1140" spans="1:17">
      <c r="A1140" t="s">
        <v>1186</v>
      </c>
      <c r="B1140" s="8">
        <v>45757</v>
      </c>
      <c r="C1140" t="s">
        <v>2</v>
      </c>
      <c r="D1140" t="s">
        <v>48</v>
      </c>
      <c r="E1140" t="s">
        <v>40</v>
      </c>
      <c r="F1140" t="s">
        <v>41</v>
      </c>
      <c r="G1140" t="s">
        <v>42</v>
      </c>
      <c r="H1140">
        <v>1</v>
      </c>
      <c r="I1140">
        <v>0</v>
      </c>
      <c r="J1140">
        <v>0</v>
      </c>
      <c r="K1140">
        <v>0</v>
      </c>
      <c r="L1140">
        <v>0</v>
      </c>
      <c r="M1140">
        <v>0</v>
      </c>
      <c r="N1140">
        <v>0</v>
      </c>
      <c r="O1140">
        <v>0</v>
      </c>
      <c r="Q1140">
        <v>70.900000000000006</v>
      </c>
    </row>
    <row r="1141" spans="1:17">
      <c r="A1141" t="s">
        <v>1187</v>
      </c>
      <c r="B1141" s="8">
        <v>45667</v>
      </c>
      <c r="C1141" t="s">
        <v>2</v>
      </c>
      <c r="D1141" t="s">
        <v>39</v>
      </c>
      <c r="E1141" t="s">
        <v>40</v>
      </c>
      <c r="F1141" t="s">
        <v>57</v>
      </c>
      <c r="G1141" t="s">
        <v>42</v>
      </c>
      <c r="H1141">
        <v>1</v>
      </c>
      <c r="I1141">
        <v>0</v>
      </c>
      <c r="J1141">
        <v>0</v>
      </c>
      <c r="K1141">
        <v>0</v>
      </c>
      <c r="L1141">
        <v>0</v>
      </c>
      <c r="M1141">
        <v>0</v>
      </c>
      <c r="N1141">
        <v>0</v>
      </c>
      <c r="O1141">
        <v>0</v>
      </c>
      <c r="Q1141">
        <v>63.7</v>
      </c>
    </row>
    <row r="1142" spans="1:17">
      <c r="A1142" t="s">
        <v>1188</v>
      </c>
      <c r="B1142" s="8">
        <v>45699</v>
      </c>
      <c r="C1142" t="s">
        <v>2</v>
      </c>
      <c r="D1142" t="s">
        <v>48</v>
      </c>
      <c r="E1142" t="s">
        <v>40</v>
      </c>
      <c r="F1142" t="s">
        <v>45</v>
      </c>
      <c r="G1142" t="s">
        <v>42</v>
      </c>
      <c r="H1142">
        <v>1</v>
      </c>
      <c r="I1142">
        <v>0</v>
      </c>
      <c r="J1142">
        <v>0</v>
      </c>
      <c r="K1142">
        <v>0</v>
      </c>
      <c r="L1142">
        <v>0</v>
      </c>
      <c r="M1142">
        <v>0</v>
      </c>
      <c r="N1142">
        <v>0</v>
      </c>
      <c r="O1142">
        <v>0</v>
      </c>
      <c r="Q1142">
        <v>86.5</v>
      </c>
    </row>
    <row r="1143" spans="1:17">
      <c r="A1143" t="s">
        <v>1189</v>
      </c>
      <c r="B1143" s="8">
        <v>45778</v>
      </c>
      <c r="C1143" t="s">
        <v>2</v>
      </c>
      <c r="D1143" t="s">
        <v>44</v>
      </c>
      <c r="E1143" t="s">
        <v>40</v>
      </c>
      <c r="F1143" t="s">
        <v>57</v>
      </c>
      <c r="G1143" t="s">
        <v>37</v>
      </c>
      <c r="H1143">
        <v>1</v>
      </c>
      <c r="I1143">
        <v>1</v>
      </c>
      <c r="J1143">
        <v>1</v>
      </c>
      <c r="K1143">
        <v>1</v>
      </c>
      <c r="L1143">
        <v>921.72</v>
      </c>
      <c r="M1143">
        <v>3</v>
      </c>
      <c r="N1143">
        <v>1</v>
      </c>
      <c r="O1143">
        <v>0</v>
      </c>
      <c r="P1143">
        <v>7</v>
      </c>
      <c r="Q1143">
        <v>74.599999999999994</v>
      </c>
    </row>
    <row r="1144" spans="1:17">
      <c r="A1144" t="s">
        <v>1190</v>
      </c>
      <c r="B1144" s="8">
        <v>45675</v>
      </c>
      <c r="C1144" t="s">
        <v>2</v>
      </c>
      <c r="D1144" t="s">
        <v>44</v>
      </c>
      <c r="E1144" t="s">
        <v>40</v>
      </c>
      <c r="F1144" t="s">
        <v>41</v>
      </c>
      <c r="G1144" t="s">
        <v>42</v>
      </c>
      <c r="H1144">
        <v>1</v>
      </c>
      <c r="I1144">
        <v>0</v>
      </c>
      <c r="J1144">
        <v>0</v>
      </c>
      <c r="K1144">
        <v>0</v>
      </c>
      <c r="L1144">
        <v>0</v>
      </c>
      <c r="M1144">
        <v>0</v>
      </c>
      <c r="N1144">
        <v>0</v>
      </c>
      <c r="O1144">
        <v>0</v>
      </c>
      <c r="Q1144">
        <v>46.6</v>
      </c>
    </row>
    <row r="1145" spans="1:17">
      <c r="A1145" t="s">
        <v>1191</v>
      </c>
      <c r="B1145" s="8">
        <v>45659</v>
      </c>
      <c r="C1145" t="s">
        <v>2</v>
      </c>
      <c r="D1145" t="s">
        <v>34</v>
      </c>
      <c r="E1145" t="s">
        <v>40</v>
      </c>
      <c r="F1145" t="s">
        <v>45</v>
      </c>
      <c r="G1145" t="s">
        <v>42</v>
      </c>
      <c r="H1145">
        <v>0</v>
      </c>
      <c r="I1145">
        <v>0</v>
      </c>
      <c r="J1145">
        <v>0</v>
      </c>
      <c r="K1145">
        <v>0</v>
      </c>
      <c r="L1145">
        <v>0</v>
      </c>
      <c r="M1145">
        <v>0</v>
      </c>
      <c r="N1145">
        <v>0</v>
      </c>
      <c r="O1145">
        <v>0</v>
      </c>
      <c r="Q1145">
        <v>61.2</v>
      </c>
    </row>
    <row r="1146" spans="1:17">
      <c r="A1146" t="s">
        <v>1192</v>
      </c>
      <c r="B1146" s="8">
        <v>45788</v>
      </c>
      <c r="C1146" t="s">
        <v>2</v>
      </c>
      <c r="D1146" t="s">
        <v>39</v>
      </c>
      <c r="E1146" t="s">
        <v>40</v>
      </c>
      <c r="F1146" t="s">
        <v>41</v>
      </c>
      <c r="G1146" t="s">
        <v>42</v>
      </c>
      <c r="H1146">
        <v>1</v>
      </c>
      <c r="I1146">
        <v>1</v>
      </c>
      <c r="J1146">
        <v>1</v>
      </c>
      <c r="K1146">
        <v>1</v>
      </c>
      <c r="L1146">
        <v>290.39</v>
      </c>
      <c r="M1146">
        <v>0</v>
      </c>
      <c r="N1146">
        <v>0</v>
      </c>
      <c r="O1146">
        <v>0</v>
      </c>
      <c r="P1146">
        <v>4</v>
      </c>
      <c r="Q1146">
        <v>54.4</v>
      </c>
    </row>
    <row r="1147" spans="1:17">
      <c r="A1147" t="s">
        <v>1193</v>
      </c>
      <c r="B1147" s="8">
        <v>45738</v>
      </c>
      <c r="C1147" t="s">
        <v>2</v>
      </c>
      <c r="D1147" t="s">
        <v>34</v>
      </c>
      <c r="E1147" t="s">
        <v>40</v>
      </c>
      <c r="F1147" t="s">
        <v>55</v>
      </c>
      <c r="G1147" t="s">
        <v>42</v>
      </c>
      <c r="H1147">
        <v>1</v>
      </c>
      <c r="I1147">
        <v>1</v>
      </c>
      <c r="J1147">
        <v>1</v>
      </c>
      <c r="K1147">
        <v>0</v>
      </c>
      <c r="L1147">
        <v>0</v>
      </c>
      <c r="M1147">
        <v>0</v>
      </c>
      <c r="N1147">
        <v>0</v>
      </c>
      <c r="O1147">
        <v>0</v>
      </c>
      <c r="Q1147">
        <v>72</v>
      </c>
    </row>
    <row r="1148" spans="1:17">
      <c r="A1148" t="s">
        <v>1194</v>
      </c>
      <c r="B1148" s="8">
        <v>45779</v>
      </c>
      <c r="C1148" t="s">
        <v>2</v>
      </c>
      <c r="D1148" t="s">
        <v>48</v>
      </c>
      <c r="E1148" t="s">
        <v>40</v>
      </c>
      <c r="F1148" t="s">
        <v>57</v>
      </c>
      <c r="G1148" t="s">
        <v>46</v>
      </c>
      <c r="H1148">
        <v>1</v>
      </c>
      <c r="I1148">
        <v>1</v>
      </c>
      <c r="J1148">
        <v>1</v>
      </c>
      <c r="K1148">
        <v>1</v>
      </c>
      <c r="L1148">
        <v>1858.85</v>
      </c>
      <c r="M1148">
        <v>0</v>
      </c>
      <c r="N1148">
        <v>0</v>
      </c>
      <c r="O1148">
        <v>0</v>
      </c>
      <c r="P1148">
        <v>8</v>
      </c>
      <c r="Q1148">
        <v>88.6</v>
      </c>
    </row>
    <row r="1149" spans="1:17">
      <c r="A1149" t="s">
        <v>1195</v>
      </c>
      <c r="B1149" s="8">
        <v>45803</v>
      </c>
      <c r="C1149" t="s">
        <v>2</v>
      </c>
      <c r="D1149" t="s">
        <v>44</v>
      </c>
      <c r="E1149" t="s">
        <v>35</v>
      </c>
      <c r="G1149" t="s">
        <v>37</v>
      </c>
      <c r="H1149">
        <v>1</v>
      </c>
      <c r="I1149">
        <v>0</v>
      </c>
      <c r="J1149">
        <v>0</v>
      </c>
      <c r="K1149">
        <v>0</v>
      </c>
      <c r="L1149">
        <v>0</v>
      </c>
      <c r="M1149">
        <v>0</v>
      </c>
      <c r="N1149">
        <v>0</v>
      </c>
      <c r="O1149">
        <v>0</v>
      </c>
      <c r="Q1149">
        <v>77.599999999999994</v>
      </c>
    </row>
    <row r="1150" spans="1:17">
      <c r="A1150" t="s">
        <v>1196</v>
      </c>
      <c r="B1150" s="8">
        <v>45729</v>
      </c>
      <c r="C1150" t="s">
        <v>2</v>
      </c>
      <c r="D1150" t="s">
        <v>48</v>
      </c>
      <c r="E1150" t="s">
        <v>40</v>
      </c>
      <c r="F1150" t="s">
        <v>41</v>
      </c>
      <c r="G1150" t="s">
        <v>37</v>
      </c>
      <c r="H1150">
        <v>1</v>
      </c>
      <c r="I1150">
        <v>0</v>
      </c>
      <c r="J1150">
        <v>0</v>
      </c>
      <c r="K1150">
        <v>0</v>
      </c>
      <c r="L1150">
        <v>0</v>
      </c>
      <c r="M1150">
        <v>1</v>
      </c>
      <c r="N1150">
        <v>1</v>
      </c>
      <c r="O1150">
        <v>0</v>
      </c>
      <c r="Q1150">
        <v>44.3</v>
      </c>
    </row>
    <row r="1151" spans="1:17">
      <c r="A1151" t="s">
        <v>1197</v>
      </c>
      <c r="B1151" s="8">
        <v>45794</v>
      </c>
      <c r="C1151" t="s">
        <v>2</v>
      </c>
      <c r="D1151" t="s">
        <v>48</v>
      </c>
      <c r="E1151" t="s">
        <v>35</v>
      </c>
      <c r="F1151" t="s">
        <v>45</v>
      </c>
      <c r="G1151" t="s">
        <v>42</v>
      </c>
      <c r="H1151">
        <v>1</v>
      </c>
      <c r="I1151">
        <v>1</v>
      </c>
      <c r="J1151">
        <v>0</v>
      </c>
      <c r="K1151">
        <v>0</v>
      </c>
      <c r="L1151">
        <v>0</v>
      </c>
      <c r="M1151">
        <v>0</v>
      </c>
      <c r="N1151">
        <v>0</v>
      </c>
      <c r="O1151">
        <v>0</v>
      </c>
      <c r="Q1151">
        <v>49</v>
      </c>
    </row>
    <row r="1152" spans="1:17">
      <c r="A1152" t="s">
        <v>1198</v>
      </c>
      <c r="B1152" s="8">
        <v>45729</v>
      </c>
      <c r="C1152" t="s">
        <v>2</v>
      </c>
      <c r="D1152" t="s">
        <v>34</v>
      </c>
      <c r="E1152" t="s">
        <v>35</v>
      </c>
      <c r="F1152" t="s">
        <v>55</v>
      </c>
      <c r="G1152" t="s">
        <v>46</v>
      </c>
      <c r="H1152">
        <v>1</v>
      </c>
      <c r="I1152">
        <v>0</v>
      </c>
      <c r="J1152">
        <v>0</v>
      </c>
      <c r="K1152">
        <v>0</v>
      </c>
      <c r="L1152">
        <v>0</v>
      </c>
      <c r="M1152">
        <v>0</v>
      </c>
      <c r="N1152">
        <v>0</v>
      </c>
      <c r="O1152">
        <v>0</v>
      </c>
      <c r="Q1152">
        <v>53.9</v>
      </c>
    </row>
    <row r="1153" spans="1:17">
      <c r="A1153" t="s">
        <v>1199</v>
      </c>
      <c r="B1153" s="8">
        <v>45699</v>
      </c>
      <c r="C1153" t="s">
        <v>2</v>
      </c>
      <c r="D1153" t="s">
        <v>44</v>
      </c>
      <c r="E1153" t="s">
        <v>35</v>
      </c>
      <c r="F1153" t="s">
        <v>41</v>
      </c>
      <c r="G1153" t="s">
        <v>37</v>
      </c>
      <c r="H1153">
        <v>1</v>
      </c>
      <c r="I1153">
        <v>0</v>
      </c>
      <c r="J1153">
        <v>0</v>
      </c>
      <c r="K1153">
        <v>0</v>
      </c>
      <c r="L1153">
        <v>0</v>
      </c>
      <c r="M1153">
        <v>1</v>
      </c>
      <c r="N1153">
        <v>1</v>
      </c>
      <c r="O1153">
        <v>0</v>
      </c>
      <c r="Q1153">
        <v>69</v>
      </c>
    </row>
    <row r="1154" spans="1:17">
      <c r="A1154" t="s">
        <v>1200</v>
      </c>
      <c r="B1154" s="8">
        <v>45717</v>
      </c>
      <c r="C1154" t="s">
        <v>2</v>
      </c>
      <c r="D1154" t="s">
        <v>39</v>
      </c>
      <c r="E1154" t="s">
        <v>40</v>
      </c>
      <c r="F1154" t="s">
        <v>57</v>
      </c>
      <c r="G1154" t="s">
        <v>42</v>
      </c>
      <c r="H1154">
        <v>0</v>
      </c>
      <c r="I1154">
        <v>0</v>
      </c>
      <c r="J1154">
        <v>0</v>
      </c>
      <c r="K1154">
        <v>0</v>
      </c>
      <c r="L1154">
        <v>0</v>
      </c>
      <c r="M1154">
        <v>0</v>
      </c>
      <c r="N1154">
        <v>0</v>
      </c>
      <c r="O1154">
        <v>0</v>
      </c>
      <c r="Q1154">
        <v>37.4</v>
      </c>
    </row>
    <row r="1155" spans="1:17">
      <c r="A1155" t="s">
        <v>1201</v>
      </c>
      <c r="B1155" s="8">
        <v>45762</v>
      </c>
      <c r="C1155" t="s">
        <v>2</v>
      </c>
      <c r="D1155" t="s">
        <v>39</v>
      </c>
      <c r="E1155" t="s">
        <v>40</v>
      </c>
      <c r="F1155" t="s">
        <v>41</v>
      </c>
      <c r="G1155" t="s">
        <v>37</v>
      </c>
      <c r="H1155">
        <v>0</v>
      </c>
      <c r="I1155">
        <v>0</v>
      </c>
      <c r="J1155">
        <v>0</v>
      </c>
      <c r="K1155">
        <v>0</v>
      </c>
      <c r="L1155">
        <v>0</v>
      </c>
      <c r="M1155">
        <v>0</v>
      </c>
      <c r="N1155">
        <v>0</v>
      </c>
      <c r="O1155">
        <v>0</v>
      </c>
      <c r="Q1155">
        <v>59</v>
      </c>
    </row>
    <row r="1156" spans="1:17">
      <c r="A1156" t="s">
        <v>1202</v>
      </c>
      <c r="B1156" s="8">
        <v>45690</v>
      </c>
      <c r="C1156" t="s">
        <v>2</v>
      </c>
      <c r="D1156" t="s">
        <v>44</v>
      </c>
      <c r="E1156" t="s">
        <v>40</v>
      </c>
      <c r="F1156" t="s">
        <v>41</v>
      </c>
      <c r="G1156" t="s">
        <v>46</v>
      </c>
      <c r="H1156">
        <v>1</v>
      </c>
      <c r="I1156">
        <v>0</v>
      </c>
      <c r="J1156">
        <v>0</v>
      </c>
      <c r="K1156">
        <v>0</v>
      </c>
      <c r="L1156">
        <v>0</v>
      </c>
      <c r="M1156">
        <v>0</v>
      </c>
      <c r="N1156">
        <v>0</v>
      </c>
      <c r="O1156">
        <v>0</v>
      </c>
      <c r="Q1156">
        <v>60.8</v>
      </c>
    </row>
    <row r="1157" spans="1:17">
      <c r="A1157" t="s">
        <v>1203</v>
      </c>
      <c r="B1157" s="8">
        <v>45796</v>
      </c>
      <c r="C1157" t="s">
        <v>2</v>
      </c>
      <c r="D1157" t="s">
        <v>48</v>
      </c>
      <c r="E1157" t="s">
        <v>40</v>
      </c>
      <c r="F1157" t="s">
        <v>36</v>
      </c>
      <c r="G1157" t="s">
        <v>42</v>
      </c>
      <c r="H1157">
        <v>1</v>
      </c>
      <c r="I1157">
        <v>0</v>
      </c>
      <c r="J1157">
        <v>0</v>
      </c>
      <c r="K1157">
        <v>0</v>
      </c>
      <c r="L1157">
        <v>0</v>
      </c>
      <c r="M1157">
        <v>0</v>
      </c>
      <c r="N1157">
        <v>0</v>
      </c>
      <c r="O1157">
        <v>0</v>
      </c>
      <c r="Q1157">
        <v>57.5</v>
      </c>
    </row>
    <row r="1158" spans="1:17">
      <c r="A1158" t="s">
        <v>1204</v>
      </c>
      <c r="B1158" s="8">
        <v>45662</v>
      </c>
      <c r="C1158" t="s">
        <v>2</v>
      </c>
      <c r="D1158" t="s">
        <v>39</v>
      </c>
      <c r="E1158" t="s">
        <v>40</v>
      </c>
      <c r="F1158" t="s">
        <v>55</v>
      </c>
      <c r="G1158" t="s">
        <v>42</v>
      </c>
      <c r="H1158">
        <v>0</v>
      </c>
      <c r="I1158">
        <v>0</v>
      </c>
      <c r="J1158">
        <v>0</v>
      </c>
      <c r="K1158">
        <v>0</v>
      </c>
      <c r="L1158">
        <v>0</v>
      </c>
      <c r="M1158">
        <v>0</v>
      </c>
      <c r="N1158">
        <v>0</v>
      </c>
      <c r="O1158">
        <v>0</v>
      </c>
      <c r="Q1158">
        <v>84.2</v>
      </c>
    </row>
    <row r="1159" spans="1:17">
      <c r="A1159" t="s">
        <v>1205</v>
      </c>
      <c r="B1159" s="8">
        <v>45724</v>
      </c>
      <c r="C1159" t="s">
        <v>2</v>
      </c>
      <c r="D1159" t="s">
        <v>48</v>
      </c>
      <c r="E1159" t="s">
        <v>40</v>
      </c>
      <c r="F1159" t="s">
        <v>45</v>
      </c>
      <c r="G1159" t="s">
        <v>42</v>
      </c>
      <c r="H1159">
        <v>1</v>
      </c>
      <c r="I1159">
        <v>1</v>
      </c>
      <c r="J1159">
        <v>0</v>
      </c>
      <c r="K1159">
        <v>0</v>
      </c>
      <c r="L1159">
        <v>0</v>
      </c>
      <c r="M1159">
        <v>0</v>
      </c>
      <c r="N1159">
        <v>0</v>
      </c>
      <c r="O1159">
        <v>0</v>
      </c>
      <c r="Q1159">
        <v>27.4</v>
      </c>
    </row>
    <row r="1160" spans="1:17">
      <c r="A1160" t="s">
        <v>1206</v>
      </c>
      <c r="B1160" s="8">
        <v>45728</v>
      </c>
      <c r="C1160" t="s">
        <v>2</v>
      </c>
      <c r="D1160" t="s">
        <v>39</v>
      </c>
      <c r="E1160" t="s">
        <v>40</v>
      </c>
      <c r="F1160" t="s">
        <v>36</v>
      </c>
      <c r="G1160" t="s">
        <v>37</v>
      </c>
      <c r="H1160">
        <v>1</v>
      </c>
      <c r="I1160">
        <v>0</v>
      </c>
      <c r="J1160">
        <v>0</v>
      </c>
      <c r="K1160">
        <v>0</v>
      </c>
      <c r="L1160">
        <v>0</v>
      </c>
      <c r="M1160">
        <v>1</v>
      </c>
      <c r="N1160">
        <v>1</v>
      </c>
      <c r="O1160">
        <v>0</v>
      </c>
      <c r="Q1160">
        <v>67.599999999999994</v>
      </c>
    </row>
    <row r="1161" spans="1:17">
      <c r="A1161" t="s">
        <v>1207</v>
      </c>
      <c r="B1161" s="8">
        <v>45681</v>
      </c>
      <c r="C1161" t="s">
        <v>2</v>
      </c>
      <c r="D1161" t="s">
        <v>39</v>
      </c>
      <c r="E1161" t="s">
        <v>40</v>
      </c>
      <c r="F1161" t="s">
        <v>41</v>
      </c>
      <c r="G1161" t="s">
        <v>42</v>
      </c>
      <c r="H1161">
        <v>0</v>
      </c>
      <c r="I1161">
        <v>0</v>
      </c>
      <c r="J1161">
        <v>0</v>
      </c>
      <c r="K1161">
        <v>0</v>
      </c>
      <c r="L1161">
        <v>0</v>
      </c>
      <c r="M1161">
        <v>0</v>
      </c>
      <c r="N1161">
        <v>0</v>
      </c>
      <c r="O1161">
        <v>0</v>
      </c>
      <c r="Q1161">
        <v>68.400000000000006</v>
      </c>
    </row>
    <row r="1162" spans="1:17">
      <c r="A1162" t="s">
        <v>1208</v>
      </c>
      <c r="B1162" s="8">
        <v>45799</v>
      </c>
      <c r="C1162" t="s">
        <v>2</v>
      </c>
      <c r="D1162" t="s">
        <v>48</v>
      </c>
      <c r="E1162" t="s">
        <v>40</v>
      </c>
      <c r="F1162" t="s">
        <v>45</v>
      </c>
      <c r="G1162" t="s">
        <v>37</v>
      </c>
      <c r="H1162">
        <v>1</v>
      </c>
      <c r="I1162">
        <v>1</v>
      </c>
      <c r="J1162">
        <v>1</v>
      </c>
      <c r="K1162">
        <v>0</v>
      </c>
      <c r="L1162">
        <v>0</v>
      </c>
      <c r="M1162">
        <v>0</v>
      </c>
      <c r="N1162">
        <v>0</v>
      </c>
      <c r="O1162">
        <v>0</v>
      </c>
      <c r="Q1162">
        <v>66.5</v>
      </c>
    </row>
    <row r="1163" spans="1:17">
      <c r="A1163" t="s">
        <v>1209</v>
      </c>
      <c r="B1163" s="8">
        <v>45743</v>
      </c>
      <c r="C1163" t="s">
        <v>2</v>
      </c>
      <c r="D1163" t="s">
        <v>48</v>
      </c>
      <c r="E1163" t="s">
        <v>40</v>
      </c>
      <c r="F1163" t="s">
        <v>45</v>
      </c>
      <c r="G1163" t="s">
        <v>42</v>
      </c>
      <c r="H1163">
        <v>1</v>
      </c>
      <c r="I1163">
        <v>0</v>
      </c>
      <c r="J1163">
        <v>0</v>
      </c>
      <c r="K1163">
        <v>0</v>
      </c>
      <c r="L1163">
        <v>0</v>
      </c>
      <c r="M1163">
        <v>0</v>
      </c>
      <c r="N1163">
        <v>0</v>
      </c>
      <c r="O1163">
        <v>0</v>
      </c>
      <c r="Q1163">
        <v>38.200000000000003</v>
      </c>
    </row>
    <row r="1164" spans="1:17">
      <c r="A1164" t="s">
        <v>1210</v>
      </c>
      <c r="B1164" s="8">
        <v>45659</v>
      </c>
      <c r="C1164" t="s">
        <v>2</v>
      </c>
      <c r="D1164" t="s">
        <v>39</v>
      </c>
      <c r="E1164" t="s">
        <v>40</v>
      </c>
      <c r="F1164" t="s">
        <v>57</v>
      </c>
      <c r="G1164" t="s">
        <v>42</v>
      </c>
      <c r="H1164">
        <v>0</v>
      </c>
      <c r="I1164">
        <v>0</v>
      </c>
      <c r="J1164">
        <v>0</v>
      </c>
      <c r="K1164">
        <v>0</v>
      </c>
      <c r="L1164">
        <v>0</v>
      </c>
      <c r="M1164">
        <v>1</v>
      </c>
      <c r="N1164">
        <v>1</v>
      </c>
      <c r="O1164">
        <v>0</v>
      </c>
      <c r="Q1164">
        <v>66.7</v>
      </c>
    </row>
    <row r="1165" spans="1:17">
      <c r="A1165" t="s">
        <v>1211</v>
      </c>
      <c r="B1165" s="8">
        <v>45712</v>
      </c>
      <c r="C1165" t="s">
        <v>2</v>
      </c>
      <c r="D1165" t="s">
        <v>34</v>
      </c>
      <c r="E1165" t="s">
        <v>40</v>
      </c>
      <c r="F1165" t="s">
        <v>45</v>
      </c>
      <c r="G1165" t="s">
        <v>42</v>
      </c>
      <c r="H1165">
        <v>0</v>
      </c>
      <c r="I1165">
        <v>0</v>
      </c>
      <c r="J1165">
        <v>0</v>
      </c>
      <c r="K1165">
        <v>0</v>
      </c>
      <c r="L1165">
        <v>0</v>
      </c>
      <c r="M1165">
        <v>1</v>
      </c>
      <c r="N1165">
        <v>1</v>
      </c>
      <c r="O1165">
        <v>0</v>
      </c>
      <c r="Q1165">
        <v>73.7</v>
      </c>
    </row>
    <row r="1166" spans="1:17">
      <c r="A1166" t="s">
        <v>1212</v>
      </c>
      <c r="B1166" s="8">
        <v>45717</v>
      </c>
      <c r="C1166" t="s">
        <v>2</v>
      </c>
      <c r="D1166" t="s">
        <v>39</v>
      </c>
      <c r="E1166" t="s">
        <v>35</v>
      </c>
      <c r="F1166" t="s">
        <v>41</v>
      </c>
      <c r="G1166" t="s">
        <v>37</v>
      </c>
      <c r="H1166">
        <v>1</v>
      </c>
      <c r="I1166">
        <v>1</v>
      </c>
      <c r="J1166">
        <v>1</v>
      </c>
      <c r="K1166">
        <v>0</v>
      </c>
      <c r="L1166">
        <v>0</v>
      </c>
      <c r="M1166">
        <v>0</v>
      </c>
      <c r="N1166">
        <v>0</v>
      </c>
      <c r="O1166">
        <v>0</v>
      </c>
      <c r="Q1166">
        <v>63.9</v>
      </c>
    </row>
    <row r="1167" spans="1:17">
      <c r="A1167" t="s">
        <v>1213</v>
      </c>
      <c r="B1167" s="8">
        <v>45742</v>
      </c>
      <c r="C1167" t="s">
        <v>2</v>
      </c>
      <c r="D1167" t="s">
        <v>48</v>
      </c>
      <c r="E1167" t="s">
        <v>50</v>
      </c>
      <c r="F1167" t="s">
        <v>41</v>
      </c>
      <c r="G1167" t="s">
        <v>37</v>
      </c>
      <c r="H1167">
        <v>1</v>
      </c>
      <c r="I1167">
        <v>0</v>
      </c>
      <c r="J1167">
        <v>0</v>
      </c>
      <c r="K1167">
        <v>0</v>
      </c>
      <c r="L1167">
        <v>0</v>
      </c>
      <c r="M1167">
        <v>1</v>
      </c>
      <c r="N1167">
        <v>1</v>
      </c>
      <c r="O1167">
        <v>0</v>
      </c>
      <c r="Q1167">
        <v>82.6</v>
      </c>
    </row>
    <row r="1168" spans="1:17">
      <c r="A1168" t="s">
        <v>1214</v>
      </c>
      <c r="B1168" s="8">
        <v>45802</v>
      </c>
      <c r="C1168" t="s">
        <v>2</v>
      </c>
      <c r="D1168" t="s">
        <v>44</v>
      </c>
      <c r="E1168" t="s">
        <v>40</v>
      </c>
      <c r="F1168" t="s">
        <v>45</v>
      </c>
      <c r="G1168" t="s">
        <v>42</v>
      </c>
      <c r="H1168">
        <v>0</v>
      </c>
      <c r="I1168">
        <v>0</v>
      </c>
      <c r="J1168">
        <v>0</v>
      </c>
      <c r="K1168">
        <v>0</v>
      </c>
      <c r="L1168">
        <v>0</v>
      </c>
      <c r="M1168">
        <v>1</v>
      </c>
      <c r="N1168">
        <v>1</v>
      </c>
      <c r="O1168">
        <v>0</v>
      </c>
      <c r="Q1168">
        <v>58.3</v>
      </c>
    </row>
    <row r="1169" spans="1:17">
      <c r="A1169" t="s">
        <v>1215</v>
      </c>
      <c r="B1169" s="8">
        <v>45713</v>
      </c>
      <c r="C1169" t="s">
        <v>2</v>
      </c>
      <c r="D1169" t="s">
        <v>39</v>
      </c>
      <c r="E1169" t="s">
        <v>40</v>
      </c>
      <c r="F1169" t="s">
        <v>55</v>
      </c>
      <c r="G1169" t="s">
        <v>46</v>
      </c>
      <c r="H1169">
        <v>1</v>
      </c>
      <c r="I1169">
        <v>1</v>
      </c>
      <c r="J1169">
        <v>1</v>
      </c>
      <c r="K1169">
        <v>1</v>
      </c>
      <c r="L1169">
        <v>1547.06</v>
      </c>
      <c r="M1169">
        <v>0</v>
      </c>
      <c r="N1169">
        <v>0</v>
      </c>
      <c r="O1169">
        <v>1</v>
      </c>
      <c r="P1169">
        <v>2</v>
      </c>
      <c r="Q1169">
        <v>72.900000000000006</v>
      </c>
    </row>
    <row r="1170" spans="1:17">
      <c r="A1170" t="s">
        <v>1216</v>
      </c>
      <c r="B1170" s="8">
        <v>45739</v>
      </c>
      <c r="C1170" t="s">
        <v>2</v>
      </c>
      <c r="D1170" t="s">
        <v>48</v>
      </c>
      <c r="E1170" t="s">
        <v>40</v>
      </c>
      <c r="F1170" t="s">
        <v>57</v>
      </c>
      <c r="G1170" t="s">
        <v>42</v>
      </c>
      <c r="H1170">
        <v>1</v>
      </c>
      <c r="I1170">
        <v>1</v>
      </c>
      <c r="J1170">
        <v>1</v>
      </c>
      <c r="K1170">
        <v>0</v>
      </c>
      <c r="L1170">
        <v>0</v>
      </c>
      <c r="M1170">
        <v>2</v>
      </c>
      <c r="N1170">
        <v>1</v>
      </c>
      <c r="O1170">
        <v>0</v>
      </c>
      <c r="Q1170">
        <v>53.5</v>
      </c>
    </row>
    <row r="1171" spans="1:17">
      <c r="A1171" t="s">
        <v>1217</v>
      </c>
      <c r="B1171" s="8">
        <v>45768</v>
      </c>
      <c r="C1171" t="s">
        <v>2</v>
      </c>
      <c r="D1171" t="s">
        <v>39</v>
      </c>
      <c r="E1171" t="s">
        <v>40</v>
      </c>
      <c r="F1171" t="s">
        <v>55</v>
      </c>
      <c r="G1171" t="s">
        <v>42</v>
      </c>
      <c r="H1171">
        <v>1</v>
      </c>
      <c r="I1171">
        <v>0</v>
      </c>
      <c r="J1171">
        <v>0</v>
      </c>
      <c r="K1171">
        <v>0</v>
      </c>
      <c r="L1171">
        <v>0</v>
      </c>
      <c r="M1171">
        <v>0</v>
      </c>
      <c r="N1171">
        <v>0</v>
      </c>
      <c r="O1171">
        <v>0</v>
      </c>
      <c r="Q1171">
        <v>54.8</v>
      </c>
    </row>
    <row r="1172" spans="1:17">
      <c r="A1172" t="s">
        <v>1218</v>
      </c>
      <c r="B1172" s="8">
        <v>45798</v>
      </c>
      <c r="C1172" t="s">
        <v>2</v>
      </c>
      <c r="D1172" t="s">
        <v>34</v>
      </c>
      <c r="E1172" t="s">
        <v>40</v>
      </c>
      <c r="F1172" t="s">
        <v>41</v>
      </c>
      <c r="G1172" t="s">
        <v>46</v>
      </c>
      <c r="H1172">
        <v>1</v>
      </c>
      <c r="I1172">
        <v>0</v>
      </c>
      <c r="J1172">
        <v>0</v>
      </c>
      <c r="K1172">
        <v>0</v>
      </c>
      <c r="L1172">
        <v>0</v>
      </c>
      <c r="M1172">
        <v>0</v>
      </c>
      <c r="N1172">
        <v>0</v>
      </c>
      <c r="O1172">
        <v>0</v>
      </c>
      <c r="Q1172">
        <v>69.5</v>
      </c>
    </row>
    <row r="1173" spans="1:17">
      <c r="A1173" t="s">
        <v>1219</v>
      </c>
      <c r="B1173" s="8">
        <v>45772</v>
      </c>
      <c r="C1173" t="s">
        <v>2</v>
      </c>
      <c r="D1173" t="s">
        <v>34</v>
      </c>
      <c r="E1173" t="s">
        <v>35</v>
      </c>
      <c r="F1173" t="s">
        <v>57</v>
      </c>
      <c r="G1173" t="s">
        <v>42</v>
      </c>
      <c r="H1173">
        <v>1</v>
      </c>
      <c r="I1173">
        <v>0</v>
      </c>
      <c r="J1173">
        <v>0</v>
      </c>
      <c r="K1173">
        <v>0</v>
      </c>
      <c r="L1173">
        <v>0</v>
      </c>
      <c r="M1173">
        <v>1</v>
      </c>
      <c r="N1173">
        <v>1</v>
      </c>
      <c r="O1173">
        <v>0</v>
      </c>
      <c r="Q1173">
        <v>71.3</v>
      </c>
    </row>
    <row r="1174" spans="1:17">
      <c r="A1174" t="s">
        <v>1220</v>
      </c>
      <c r="B1174" s="8">
        <v>45800</v>
      </c>
      <c r="C1174" t="s">
        <v>2</v>
      </c>
      <c r="D1174" t="s">
        <v>39</v>
      </c>
      <c r="E1174" t="s">
        <v>40</v>
      </c>
      <c r="F1174" t="s">
        <v>55</v>
      </c>
      <c r="G1174" t="s">
        <v>37</v>
      </c>
      <c r="H1174">
        <v>1</v>
      </c>
      <c r="I1174">
        <v>0</v>
      </c>
      <c r="J1174">
        <v>0</v>
      </c>
      <c r="K1174">
        <v>0</v>
      </c>
      <c r="L1174">
        <v>0</v>
      </c>
      <c r="M1174">
        <v>1</v>
      </c>
      <c r="N1174">
        <v>1</v>
      </c>
      <c r="O1174">
        <v>0</v>
      </c>
      <c r="Q1174">
        <v>57.5</v>
      </c>
    </row>
    <row r="1175" spans="1:17">
      <c r="A1175" t="s">
        <v>1221</v>
      </c>
      <c r="B1175" s="8">
        <v>45734</v>
      </c>
      <c r="C1175" t="s">
        <v>2</v>
      </c>
      <c r="D1175" t="s">
        <v>48</v>
      </c>
      <c r="E1175" t="s">
        <v>40</v>
      </c>
      <c r="F1175" t="s">
        <v>36</v>
      </c>
      <c r="G1175" t="s">
        <v>42</v>
      </c>
      <c r="H1175">
        <v>1</v>
      </c>
      <c r="I1175">
        <v>0</v>
      </c>
      <c r="J1175">
        <v>0</v>
      </c>
      <c r="K1175">
        <v>0</v>
      </c>
      <c r="L1175">
        <v>0</v>
      </c>
      <c r="M1175">
        <v>4</v>
      </c>
      <c r="N1175">
        <v>1</v>
      </c>
      <c r="O1175">
        <v>0</v>
      </c>
      <c r="Q1175">
        <v>50.9</v>
      </c>
    </row>
    <row r="1176" spans="1:17">
      <c r="A1176" t="s">
        <v>1222</v>
      </c>
      <c r="B1176" s="8">
        <v>45660</v>
      </c>
      <c r="C1176" t="s">
        <v>2</v>
      </c>
      <c r="D1176" t="s">
        <v>48</v>
      </c>
      <c r="E1176" t="s">
        <v>50</v>
      </c>
      <c r="F1176" t="s">
        <v>41</v>
      </c>
      <c r="G1176" t="s">
        <v>42</v>
      </c>
      <c r="H1176">
        <v>1</v>
      </c>
      <c r="I1176">
        <v>1</v>
      </c>
      <c r="J1176">
        <v>1</v>
      </c>
      <c r="K1176">
        <v>0</v>
      </c>
      <c r="L1176">
        <v>0</v>
      </c>
      <c r="M1176">
        <v>0</v>
      </c>
      <c r="N1176">
        <v>0</v>
      </c>
      <c r="O1176">
        <v>0</v>
      </c>
      <c r="Q1176">
        <v>69.3</v>
      </c>
    </row>
    <row r="1177" spans="1:17">
      <c r="A1177" t="s">
        <v>1223</v>
      </c>
      <c r="B1177" s="8">
        <v>45696</v>
      </c>
      <c r="C1177" t="s">
        <v>2</v>
      </c>
      <c r="D1177" t="s">
        <v>39</v>
      </c>
      <c r="E1177" t="s">
        <v>35</v>
      </c>
      <c r="F1177" t="s">
        <v>41</v>
      </c>
      <c r="G1177" t="s">
        <v>42</v>
      </c>
      <c r="H1177">
        <v>1</v>
      </c>
      <c r="I1177">
        <v>0</v>
      </c>
      <c r="J1177">
        <v>0</v>
      </c>
      <c r="K1177">
        <v>0</v>
      </c>
      <c r="L1177">
        <v>0</v>
      </c>
      <c r="M1177">
        <v>0</v>
      </c>
      <c r="N1177">
        <v>0</v>
      </c>
      <c r="O1177">
        <v>0</v>
      </c>
      <c r="Q1177">
        <v>50.1</v>
      </c>
    </row>
    <row r="1178" spans="1:17">
      <c r="A1178" t="s">
        <v>1224</v>
      </c>
      <c r="B1178" s="8">
        <v>45692</v>
      </c>
      <c r="C1178" t="s">
        <v>2</v>
      </c>
      <c r="D1178" t="s">
        <v>44</v>
      </c>
      <c r="F1178" t="s">
        <v>45</v>
      </c>
      <c r="G1178" t="s">
        <v>37</v>
      </c>
      <c r="H1178">
        <v>0</v>
      </c>
      <c r="I1178">
        <v>0</v>
      </c>
      <c r="J1178">
        <v>0</v>
      </c>
      <c r="K1178">
        <v>0</v>
      </c>
      <c r="L1178">
        <v>0</v>
      </c>
      <c r="M1178">
        <v>0</v>
      </c>
      <c r="N1178">
        <v>0</v>
      </c>
      <c r="O1178">
        <v>0</v>
      </c>
      <c r="Q1178">
        <v>69.7</v>
      </c>
    </row>
    <row r="1179" spans="1:17">
      <c r="A1179" t="s">
        <v>1225</v>
      </c>
      <c r="B1179" s="8">
        <v>45673</v>
      </c>
      <c r="C1179" t="s">
        <v>2</v>
      </c>
      <c r="D1179" t="s">
        <v>34</v>
      </c>
      <c r="E1179" t="s">
        <v>40</v>
      </c>
      <c r="F1179" t="s">
        <v>45</v>
      </c>
      <c r="G1179" t="s">
        <v>42</v>
      </c>
      <c r="H1179">
        <v>0</v>
      </c>
      <c r="I1179">
        <v>0</v>
      </c>
      <c r="J1179">
        <v>0</v>
      </c>
      <c r="K1179">
        <v>0</v>
      </c>
      <c r="L1179">
        <v>0</v>
      </c>
      <c r="M1179">
        <v>0</v>
      </c>
      <c r="N1179">
        <v>0</v>
      </c>
      <c r="O1179">
        <v>0</v>
      </c>
      <c r="Q1179">
        <v>63.5</v>
      </c>
    </row>
    <row r="1180" spans="1:17">
      <c r="A1180" t="s">
        <v>1226</v>
      </c>
      <c r="B1180" s="8">
        <v>45751</v>
      </c>
      <c r="C1180" t="s">
        <v>2</v>
      </c>
      <c r="D1180" t="s">
        <v>39</v>
      </c>
      <c r="E1180" t="s">
        <v>35</v>
      </c>
      <c r="F1180" t="s">
        <v>45</v>
      </c>
      <c r="G1180" t="s">
        <v>42</v>
      </c>
      <c r="H1180">
        <v>1</v>
      </c>
      <c r="I1180">
        <v>1</v>
      </c>
      <c r="J1180">
        <v>1</v>
      </c>
      <c r="K1180">
        <v>1</v>
      </c>
      <c r="L1180">
        <v>265.58999999999997</v>
      </c>
      <c r="M1180">
        <v>1</v>
      </c>
      <c r="N1180">
        <v>1</v>
      </c>
      <c r="O1180">
        <v>0</v>
      </c>
      <c r="P1180">
        <v>8</v>
      </c>
      <c r="Q1180">
        <v>80.400000000000006</v>
      </c>
    </row>
    <row r="1181" spans="1:17">
      <c r="A1181" t="s">
        <v>1227</v>
      </c>
      <c r="B1181" s="8">
        <v>45680</v>
      </c>
      <c r="C1181" t="s">
        <v>2</v>
      </c>
      <c r="D1181" t="s">
        <v>34</v>
      </c>
      <c r="E1181" t="s">
        <v>35</v>
      </c>
      <c r="F1181" t="s">
        <v>45</v>
      </c>
      <c r="G1181" t="s">
        <v>42</v>
      </c>
      <c r="H1181">
        <v>0</v>
      </c>
      <c r="I1181">
        <v>0</v>
      </c>
      <c r="J1181">
        <v>0</v>
      </c>
      <c r="K1181">
        <v>0</v>
      </c>
      <c r="L1181">
        <v>0</v>
      </c>
      <c r="M1181">
        <v>0</v>
      </c>
      <c r="N1181">
        <v>0</v>
      </c>
      <c r="O1181">
        <v>0</v>
      </c>
      <c r="Q1181">
        <v>58.9</v>
      </c>
    </row>
    <row r="1182" spans="1:17">
      <c r="A1182" t="s">
        <v>1228</v>
      </c>
      <c r="B1182" s="8">
        <v>45738</v>
      </c>
      <c r="C1182" t="s">
        <v>2</v>
      </c>
      <c r="D1182" t="s">
        <v>48</v>
      </c>
      <c r="E1182" t="s">
        <v>35</v>
      </c>
      <c r="F1182" t="s">
        <v>45</v>
      </c>
      <c r="G1182" t="s">
        <v>42</v>
      </c>
      <c r="H1182">
        <v>1</v>
      </c>
      <c r="I1182">
        <v>0</v>
      </c>
      <c r="J1182">
        <v>0</v>
      </c>
      <c r="K1182">
        <v>0</v>
      </c>
      <c r="L1182">
        <v>0</v>
      </c>
      <c r="M1182">
        <v>0</v>
      </c>
      <c r="N1182">
        <v>0</v>
      </c>
      <c r="O1182">
        <v>0</v>
      </c>
      <c r="Q1182">
        <v>56.8</v>
      </c>
    </row>
    <row r="1183" spans="1:17">
      <c r="A1183" t="s">
        <v>1229</v>
      </c>
      <c r="B1183" s="8">
        <v>45690</v>
      </c>
      <c r="C1183" t="s">
        <v>2</v>
      </c>
      <c r="D1183" t="s">
        <v>44</v>
      </c>
      <c r="E1183" t="s">
        <v>50</v>
      </c>
      <c r="F1183" t="s">
        <v>57</v>
      </c>
      <c r="G1183" t="s">
        <v>46</v>
      </c>
      <c r="H1183">
        <v>0</v>
      </c>
      <c r="I1183">
        <v>0</v>
      </c>
      <c r="J1183">
        <v>0</v>
      </c>
      <c r="K1183">
        <v>0</v>
      </c>
      <c r="L1183">
        <v>0</v>
      </c>
      <c r="M1183">
        <v>0</v>
      </c>
      <c r="N1183">
        <v>0</v>
      </c>
      <c r="O1183">
        <v>0</v>
      </c>
      <c r="Q1183">
        <v>73.900000000000006</v>
      </c>
    </row>
    <row r="1184" spans="1:17">
      <c r="A1184" t="s">
        <v>1230</v>
      </c>
      <c r="B1184" s="8">
        <v>45688</v>
      </c>
      <c r="C1184" t="s">
        <v>2</v>
      </c>
      <c r="D1184" t="s">
        <v>34</v>
      </c>
      <c r="E1184" t="s">
        <v>35</v>
      </c>
      <c r="F1184" t="s">
        <v>45</v>
      </c>
      <c r="G1184" t="s">
        <v>42</v>
      </c>
      <c r="H1184">
        <v>0</v>
      </c>
      <c r="I1184">
        <v>0</v>
      </c>
      <c r="J1184">
        <v>0</v>
      </c>
      <c r="K1184">
        <v>0</v>
      </c>
      <c r="L1184">
        <v>0</v>
      </c>
      <c r="M1184">
        <v>0</v>
      </c>
      <c r="N1184">
        <v>0</v>
      </c>
      <c r="O1184">
        <v>0</v>
      </c>
      <c r="Q1184">
        <v>76.3</v>
      </c>
    </row>
    <row r="1185" spans="1:17">
      <c r="A1185" t="s">
        <v>1231</v>
      </c>
      <c r="B1185" s="8">
        <v>45804</v>
      </c>
      <c r="C1185" t="s">
        <v>2</v>
      </c>
      <c r="D1185" t="s">
        <v>39</v>
      </c>
      <c r="E1185" t="s">
        <v>40</v>
      </c>
      <c r="F1185" t="s">
        <v>41</v>
      </c>
      <c r="G1185" t="s">
        <v>37</v>
      </c>
      <c r="H1185">
        <v>1</v>
      </c>
      <c r="I1185">
        <v>0</v>
      </c>
      <c r="J1185">
        <v>0</v>
      </c>
      <c r="K1185">
        <v>0</v>
      </c>
      <c r="L1185">
        <v>0</v>
      </c>
      <c r="M1185">
        <v>0</v>
      </c>
      <c r="N1185">
        <v>0</v>
      </c>
      <c r="O1185">
        <v>0</v>
      </c>
      <c r="Q1185">
        <v>56.9</v>
      </c>
    </row>
    <row r="1186" spans="1:17">
      <c r="A1186" t="s">
        <v>1232</v>
      </c>
      <c r="B1186" s="8">
        <v>45784</v>
      </c>
      <c r="C1186" t="s">
        <v>2</v>
      </c>
      <c r="D1186" t="s">
        <v>34</v>
      </c>
      <c r="E1186" t="s">
        <v>40</v>
      </c>
      <c r="F1186" t="s">
        <v>41</v>
      </c>
      <c r="G1186" t="s">
        <v>46</v>
      </c>
      <c r="H1186">
        <v>1</v>
      </c>
      <c r="I1186">
        <v>0</v>
      </c>
      <c r="J1186">
        <v>0</v>
      </c>
      <c r="K1186">
        <v>0</v>
      </c>
      <c r="L1186">
        <v>0</v>
      </c>
      <c r="M1186">
        <v>2</v>
      </c>
      <c r="N1186">
        <v>1</v>
      </c>
      <c r="O1186">
        <v>0</v>
      </c>
      <c r="Q1186">
        <v>49.4</v>
      </c>
    </row>
    <row r="1187" spans="1:17">
      <c r="A1187" t="s">
        <v>1233</v>
      </c>
      <c r="B1187" s="8">
        <v>45785</v>
      </c>
      <c r="C1187" t="s">
        <v>2</v>
      </c>
      <c r="D1187" t="s">
        <v>34</v>
      </c>
      <c r="E1187" t="s">
        <v>35</v>
      </c>
      <c r="F1187" t="s">
        <v>45</v>
      </c>
      <c r="G1187" t="s">
        <v>37</v>
      </c>
      <c r="H1187">
        <v>1</v>
      </c>
      <c r="I1187">
        <v>0</v>
      </c>
      <c r="J1187">
        <v>0</v>
      </c>
      <c r="K1187">
        <v>0</v>
      </c>
      <c r="L1187">
        <v>0</v>
      </c>
      <c r="M1187">
        <v>0</v>
      </c>
      <c r="N1187">
        <v>0</v>
      </c>
      <c r="O1187">
        <v>0</v>
      </c>
      <c r="Q1187">
        <v>86.7</v>
      </c>
    </row>
    <row r="1188" spans="1:17">
      <c r="A1188" t="s">
        <v>1234</v>
      </c>
      <c r="B1188" s="8">
        <v>45672</v>
      </c>
      <c r="C1188" t="s">
        <v>2</v>
      </c>
      <c r="D1188" t="s">
        <v>39</v>
      </c>
      <c r="E1188" t="s">
        <v>35</v>
      </c>
      <c r="F1188" t="s">
        <v>36</v>
      </c>
      <c r="G1188" t="s">
        <v>42</v>
      </c>
      <c r="H1188">
        <v>1</v>
      </c>
      <c r="I1188">
        <v>0</v>
      </c>
      <c r="J1188">
        <v>0</v>
      </c>
      <c r="K1188">
        <v>0</v>
      </c>
      <c r="L1188">
        <v>0</v>
      </c>
      <c r="M1188">
        <v>3</v>
      </c>
      <c r="N1188">
        <v>1</v>
      </c>
      <c r="O1188">
        <v>0</v>
      </c>
      <c r="Q1188">
        <v>69</v>
      </c>
    </row>
    <row r="1189" spans="1:17">
      <c r="A1189" t="s">
        <v>1235</v>
      </c>
      <c r="B1189" s="8">
        <v>45675</v>
      </c>
      <c r="C1189" t="s">
        <v>2</v>
      </c>
      <c r="D1189" t="s">
        <v>34</v>
      </c>
      <c r="E1189" t="s">
        <v>40</v>
      </c>
      <c r="F1189" t="s">
        <v>45</v>
      </c>
      <c r="G1189" t="s">
        <v>42</v>
      </c>
      <c r="H1189">
        <v>0</v>
      </c>
      <c r="I1189">
        <v>0</v>
      </c>
      <c r="J1189">
        <v>0</v>
      </c>
      <c r="K1189">
        <v>0</v>
      </c>
      <c r="L1189">
        <v>0</v>
      </c>
      <c r="M1189">
        <v>0</v>
      </c>
      <c r="N1189">
        <v>0</v>
      </c>
      <c r="O1189">
        <v>0</v>
      </c>
      <c r="Q1189">
        <v>84.5</v>
      </c>
    </row>
    <row r="1190" spans="1:17">
      <c r="A1190" t="s">
        <v>1236</v>
      </c>
      <c r="B1190" s="8">
        <v>45763</v>
      </c>
      <c r="C1190" t="s">
        <v>2</v>
      </c>
      <c r="D1190" t="s">
        <v>44</v>
      </c>
      <c r="F1190" t="s">
        <v>55</v>
      </c>
      <c r="G1190" t="s">
        <v>42</v>
      </c>
      <c r="H1190">
        <v>1</v>
      </c>
      <c r="I1190">
        <v>0</v>
      </c>
      <c r="J1190">
        <v>0</v>
      </c>
      <c r="K1190">
        <v>0</v>
      </c>
      <c r="L1190">
        <v>0</v>
      </c>
      <c r="M1190">
        <v>0</v>
      </c>
      <c r="N1190">
        <v>0</v>
      </c>
      <c r="O1190">
        <v>0</v>
      </c>
      <c r="Q1190">
        <v>66.3</v>
      </c>
    </row>
    <row r="1191" spans="1:17">
      <c r="A1191" t="s">
        <v>1237</v>
      </c>
      <c r="B1191" s="8">
        <v>45704</v>
      </c>
      <c r="C1191" t="s">
        <v>2</v>
      </c>
      <c r="D1191" t="s">
        <v>44</v>
      </c>
      <c r="E1191" t="s">
        <v>35</v>
      </c>
      <c r="F1191" t="s">
        <v>45</v>
      </c>
      <c r="G1191" t="s">
        <v>42</v>
      </c>
      <c r="H1191">
        <v>0</v>
      </c>
      <c r="I1191">
        <v>0</v>
      </c>
      <c r="J1191">
        <v>0</v>
      </c>
      <c r="K1191">
        <v>0</v>
      </c>
      <c r="L1191">
        <v>0</v>
      </c>
      <c r="M1191">
        <v>0</v>
      </c>
      <c r="N1191">
        <v>0</v>
      </c>
      <c r="O1191">
        <v>0</v>
      </c>
      <c r="Q1191">
        <v>52.2</v>
      </c>
    </row>
    <row r="1192" spans="1:17">
      <c r="A1192" t="s">
        <v>1238</v>
      </c>
      <c r="B1192" s="8">
        <v>45764</v>
      </c>
      <c r="C1192" t="s">
        <v>2</v>
      </c>
      <c r="D1192" t="s">
        <v>48</v>
      </c>
      <c r="E1192" t="s">
        <v>35</v>
      </c>
      <c r="F1192" t="s">
        <v>55</v>
      </c>
      <c r="G1192" t="s">
        <v>46</v>
      </c>
      <c r="H1192">
        <v>1</v>
      </c>
      <c r="I1192">
        <v>1</v>
      </c>
      <c r="J1192">
        <v>1</v>
      </c>
      <c r="K1192">
        <v>0</v>
      </c>
      <c r="L1192">
        <v>0</v>
      </c>
      <c r="M1192">
        <v>0</v>
      </c>
      <c r="N1192">
        <v>0</v>
      </c>
      <c r="O1192">
        <v>0</v>
      </c>
      <c r="Q1192">
        <v>81.2</v>
      </c>
    </row>
    <row r="1193" spans="1:17">
      <c r="A1193" t="s">
        <v>1239</v>
      </c>
      <c r="B1193" s="8">
        <v>45777</v>
      </c>
      <c r="C1193" t="s">
        <v>2</v>
      </c>
      <c r="D1193" t="s">
        <v>48</v>
      </c>
      <c r="E1193" t="s">
        <v>40</v>
      </c>
      <c r="F1193" t="s">
        <v>41</v>
      </c>
      <c r="G1193" t="s">
        <v>37</v>
      </c>
      <c r="H1193">
        <v>0</v>
      </c>
      <c r="I1193">
        <v>0</v>
      </c>
      <c r="J1193">
        <v>0</v>
      </c>
      <c r="K1193">
        <v>0</v>
      </c>
      <c r="L1193">
        <v>0</v>
      </c>
      <c r="M1193">
        <v>0</v>
      </c>
      <c r="N1193">
        <v>0</v>
      </c>
      <c r="O1193">
        <v>0</v>
      </c>
      <c r="Q1193">
        <v>53.9</v>
      </c>
    </row>
    <row r="1194" spans="1:17">
      <c r="A1194" t="s">
        <v>1240</v>
      </c>
      <c r="B1194" s="8">
        <v>45686</v>
      </c>
      <c r="C1194" t="s">
        <v>2</v>
      </c>
      <c r="D1194" t="s">
        <v>39</v>
      </c>
      <c r="E1194" t="s">
        <v>40</v>
      </c>
      <c r="F1194" t="s">
        <v>57</v>
      </c>
      <c r="G1194" t="s">
        <v>46</v>
      </c>
      <c r="H1194">
        <v>0</v>
      </c>
      <c r="I1194">
        <v>0</v>
      </c>
      <c r="J1194">
        <v>0</v>
      </c>
      <c r="K1194">
        <v>0</v>
      </c>
      <c r="L1194">
        <v>0</v>
      </c>
      <c r="M1194">
        <v>0</v>
      </c>
      <c r="N1194">
        <v>0</v>
      </c>
      <c r="O1194">
        <v>0</v>
      </c>
      <c r="Q1194">
        <v>39.1</v>
      </c>
    </row>
    <row r="1195" spans="1:17">
      <c r="A1195" t="s">
        <v>1241</v>
      </c>
      <c r="B1195" s="8">
        <v>45668</v>
      </c>
      <c r="C1195" t="s">
        <v>2</v>
      </c>
      <c r="D1195" t="s">
        <v>34</v>
      </c>
      <c r="E1195" t="s">
        <v>40</v>
      </c>
      <c r="F1195" t="s">
        <v>57</v>
      </c>
      <c r="G1195" t="s">
        <v>37</v>
      </c>
      <c r="H1195">
        <v>0</v>
      </c>
      <c r="I1195">
        <v>0</v>
      </c>
      <c r="J1195">
        <v>0</v>
      </c>
      <c r="K1195">
        <v>0</v>
      </c>
      <c r="L1195">
        <v>0</v>
      </c>
      <c r="M1195">
        <v>0</v>
      </c>
      <c r="N1195">
        <v>0</v>
      </c>
      <c r="O1195">
        <v>0</v>
      </c>
      <c r="Q1195">
        <v>57.3</v>
      </c>
    </row>
    <row r="1196" spans="1:17">
      <c r="A1196" t="s">
        <v>1242</v>
      </c>
      <c r="B1196" s="8">
        <v>45755</v>
      </c>
      <c r="C1196" t="s">
        <v>2</v>
      </c>
      <c r="D1196" t="s">
        <v>44</v>
      </c>
      <c r="E1196" t="s">
        <v>35</v>
      </c>
      <c r="F1196" t="s">
        <v>45</v>
      </c>
      <c r="G1196" t="s">
        <v>46</v>
      </c>
      <c r="H1196">
        <v>1</v>
      </c>
      <c r="I1196">
        <v>0</v>
      </c>
      <c r="J1196">
        <v>0</v>
      </c>
      <c r="K1196">
        <v>0</v>
      </c>
      <c r="L1196">
        <v>0</v>
      </c>
      <c r="M1196">
        <v>1</v>
      </c>
      <c r="N1196">
        <v>1</v>
      </c>
      <c r="O1196">
        <v>0</v>
      </c>
      <c r="Q1196">
        <v>65.900000000000006</v>
      </c>
    </row>
    <row r="1197" spans="1:17">
      <c r="A1197" t="s">
        <v>1243</v>
      </c>
      <c r="B1197" s="8">
        <v>45710</v>
      </c>
      <c r="C1197" t="s">
        <v>2</v>
      </c>
      <c r="D1197" t="s">
        <v>34</v>
      </c>
      <c r="F1197" t="s">
        <v>57</v>
      </c>
      <c r="G1197" t="s">
        <v>42</v>
      </c>
      <c r="H1197">
        <v>1</v>
      </c>
      <c r="I1197">
        <v>0</v>
      </c>
      <c r="J1197">
        <v>0</v>
      </c>
      <c r="K1197">
        <v>0</v>
      </c>
      <c r="L1197">
        <v>0</v>
      </c>
      <c r="M1197">
        <v>1</v>
      </c>
      <c r="N1197">
        <v>1</v>
      </c>
      <c r="O1197">
        <v>0</v>
      </c>
      <c r="Q1197">
        <v>34.200000000000003</v>
      </c>
    </row>
    <row r="1198" spans="1:17">
      <c r="A1198" t="s">
        <v>1244</v>
      </c>
      <c r="B1198" s="8">
        <v>45739</v>
      </c>
      <c r="C1198" t="s">
        <v>2</v>
      </c>
      <c r="D1198" t="s">
        <v>48</v>
      </c>
      <c r="E1198" t="s">
        <v>40</v>
      </c>
      <c r="F1198" t="s">
        <v>41</v>
      </c>
      <c r="G1198" t="s">
        <v>42</v>
      </c>
      <c r="H1198">
        <v>0</v>
      </c>
      <c r="I1198">
        <v>0</v>
      </c>
      <c r="J1198">
        <v>0</v>
      </c>
      <c r="K1198">
        <v>0</v>
      </c>
      <c r="L1198">
        <v>0</v>
      </c>
      <c r="M1198">
        <v>0</v>
      </c>
      <c r="N1198">
        <v>0</v>
      </c>
      <c r="O1198">
        <v>0</v>
      </c>
      <c r="Q1198">
        <v>47.2</v>
      </c>
    </row>
    <row r="1199" spans="1:17">
      <c r="A1199" t="s">
        <v>1245</v>
      </c>
      <c r="B1199" s="8">
        <v>45800</v>
      </c>
      <c r="C1199" t="s">
        <v>2</v>
      </c>
      <c r="D1199" t="s">
        <v>48</v>
      </c>
      <c r="E1199" t="s">
        <v>50</v>
      </c>
      <c r="F1199" t="s">
        <v>45</v>
      </c>
      <c r="G1199" t="s">
        <v>42</v>
      </c>
      <c r="H1199">
        <v>1</v>
      </c>
      <c r="I1199">
        <v>0</v>
      </c>
      <c r="J1199">
        <v>0</v>
      </c>
      <c r="K1199">
        <v>0</v>
      </c>
      <c r="L1199">
        <v>0</v>
      </c>
      <c r="M1199">
        <v>1</v>
      </c>
      <c r="N1199">
        <v>1</v>
      </c>
      <c r="O1199">
        <v>0</v>
      </c>
      <c r="Q1199">
        <v>55</v>
      </c>
    </row>
    <row r="1200" spans="1:17">
      <c r="A1200" t="s">
        <v>1246</v>
      </c>
      <c r="B1200" s="8">
        <v>45774</v>
      </c>
      <c r="C1200" t="s">
        <v>2</v>
      </c>
      <c r="D1200" t="s">
        <v>39</v>
      </c>
      <c r="E1200" t="s">
        <v>40</v>
      </c>
      <c r="F1200" t="s">
        <v>55</v>
      </c>
      <c r="G1200" t="s">
        <v>37</v>
      </c>
      <c r="H1200">
        <v>1</v>
      </c>
      <c r="I1200">
        <v>1</v>
      </c>
      <c r="J1200">
        <v>1</v>
      </c>
      <c r="K1200">
        <v>0</v>
      </c>
      <c r="L1200">
        <v>0</v>
      </c>
      <c r="M1200">
        <v>0</v>
      </c>
      <c r="N1200">
        <v>0</v>
      </c>
      <c r="O1200">
        <v>0</v>
      </c>
      <c r="Q1200">
        <v>76.400000000000006</v>
      </c>
    </row>
    <row r="1201" spans="1:17">
      <c r="A1201" t="s">
        <v>1247</v>
      </c>
      <c r="B1201" s="8">
        <v>45803</v>
      </c>
      <c r="C1201" t="s">
        <v>2</v>
      </c>
      <c r="D1201" t="s">
        <v>34</v>
      </c>
      <c r="E1201" t="s">
        <v>40</v>
      </c>
      <c r="F1201" t="s">
        <v>55</v>
      </c>
      <c r="G1201" t="s">
        <v>42</v>
      </c>
      <c r="H1201">
        <v>1</v>
      </c>
      <c r="I1201">
        <v>0</v>
      </c>
      <c r="J1201">
        <v>0</v>
      </c>
      <c r="K1201">
        <v>0</v>
      </c>
      <c r="L1201">
        <v>0</v>
      </c>
      <c r="M1201">
        <v>0</v>
      </c>
      <c r="N1201">
        <v>0</v>
      </c>
      <c r="O1201">
        <v>0</v>
      </c>
      <c r="Q1201">
        <v>70.8</v>
      </c>
    </row>
    <row r="1202" spans="1:17">
      <c r="A1202" t="s">
        <v>1248</v>
      </c>
      <c r="B1202" s="8">
        <v>45722</v>
      </c>
      <c r="C1202" t="s">
        <v>2</v>
      </c>
      <c r="D1202" t="s">
        <v>44</v>
      </c>
      <c r="E1202" t="s">
        <v>40</v>
      </c>
      <c r="F1202" t="s">
        <v>45</v>
      </c>
      <c r="G1202" t="s">
        <v>37</v>
      </c>
      <c r="H1202">
        <v>1</v>
      </c>
      <c r="I1202">
        <v>1</v>
      </c>
      <c r="J1202">
        <v>0</v>
      </c>
      <c r="K1202">
        <v>0</v>
      </c>
      <c r="L1202">
        <v>0</v>
      </c>
      <c r="M1202">
        <v>1</v>
      </c>
      <c r="N1202">
        <v>1</v>
      </c>
      <c r="O1202">
        <v>0</v>
      </c>
      <c r="Q1202">
        <v>58</v>
      </c>
    </row>
    <row r="1203" spans="1:17">
      <c r="A1203" t="s">
        <v>1249</v>
      </c>
      <c r="B1203" s="8">
        <v>45750</v>
      </c>
      <c r="C1203" t="s">
        <v>2</v>
      </c>
      <c r="D1203" t="s">
        <v>39</v>
      </c>
      <c r="E1203" t="s">
        <v>40</v>
      </c>
      <c r="F1203" t="s">
        <v>41</v>
      </c>
      <c r="G1203" t="s">
        <v>37</v>
      </c>
      <c r="H1203">
        <v>1</v>
      </c>
      <c r="I1203">
        <v>1</v>
      </c>
      <c r="J1203">
        <v>1</v>
      </c>
      <c r="K1203">
        <v>0</v>
      </c>
      <c r="L1203">
        <v>0</v>
      </c>
      <c r="M1203">
        <v>1</v>
      </c>
      <c r="N1203">
        <v>1</v>
      </c>
      <c r="O1203">
        <v>0</v>
      </c>
      <c r="Q1203">
        <v>70.8</v>
      </c>
    </row>
    <row r="1204" spans="1:17">
      <c r="A1204" t="s">
        <v>1250</v>
      </c>
      <c r="B1204" s="8">
        <v>45689</v>
      </c>
      <c r="C1204" t="s">
        <v>2</v>
      </c>
      <c r="D1204" t="s">
        <v>44</v>
      </c>
      <c r="E1204" t="s">
        <v>35</v>
      </c>
      <c r="F1204" t="s">
        <v>45</v>
      </c>
      <c r="G1204" t="s">
        <v>42</v>
      </c>
      <c r="H1204">
        <v>1</v>
      </c>
      <c r="I1204">
        <v>0</v>
      </c>
      <c r="J1204">
        <v>0</v>
      </c>
      <c r="K1204">
        <v>0</v>
      </c>
      <c r="L1204">
        <v>0</v>
      </c>
      <c r="M1204">
        <v>3</v>
      </c>
      <c r="N1204">
        <v>1</v>
      </c>
      <c r="O1204">
        <v>0</v>
      </c>
      <c r="Q1204">
        <v>60</v>
      </c>
    </row>
    <row r="1205" spans="1:17">
      <c r="A1205" t="s">
        <v>1251</v>
      </c>
      <c r="B1205" s="8">
        <v>45778</v>
      </c>
      <c r="C1205" t="s">
        <v>2</v>
      </c>
      <c r="D1205" t="s">
        <v>39</v>
      </c>
      <c r="E1205" t="s">
        <v>40</v>
      </c>
      <c r="F1205" t="s">
        <v>55</v>
      </c>
      <c r="G1205" t="s">
        <v>46</v>
      </c>
      <c r="H1205">
        <v>1</v>
      </c>
      <c r="I1205">
        <v>1</v>
      </c>
      <c r="J1205">
        <v>1</v>
      </c>
      <c r="K1205">
        <v>0</v>
      </c>
      <c r="L1205">
        <v>0</v>
      </c>
      <c r="M1205">
        <v>3</v>
      </c>
      <c r="N1205">
        <v>1</v>
      </c>
      <c r="O1205">
        <v>0</v>
      </c>
      <c r="Q1205">
        <v>58.1</v>
      </c>
    </row>
    <row r="1206" spans="1:17">
      <c r="A1206" t="s">
        <v>1252</v>
      </c>
      <c r="B1206" s="8">
        <v>45760</v>
      </c>
      <c r="C1206" t="s">
        <v>2</v>
      </c>
      <c r="D1206" t="s">
        <v>34</v>
      </c>
      <c r="E1206" t="s">
        <v>40</v>
      </c>
      <c r="F1206" t="s">
        <v>57</v>
      </c>
      <c r="G1206" t="s">
        <v>46</v>
      </c>
      <c r="H1206">
        <v>0</v>
      </c>
      <c r="I1206">
        <v>0</v>
      </c>
      <c r="J1206">
        <v>0</v>
      </c>
      <c r="K1206">
        <v>0</v>
      </c>
      <c r="L1206">
        <v>0</v>
      </c>
      <c r="M1206">
        <v>0</v>
      </c>
      <c r="N1206">
        <v>0</v>
      </c>
      <c r="O1206">
        <v>0</v>
      </c>
      <c r="Q1206">
        <v>59.7</v>
      </c>
    </row>
    <row r="1207" spans="1:17">
      <c r="A1207" t="s">
        <v>1253</v>
      </c>
      <c r="B1207" s="8">
        <v>45682</v>
      </c>
      <c r="C1207" t="s">
        <v>2</v>
      </c>
      <c r="D1207" t="s">
        <v>44</v>
      </c>
      <c r="E1207" t="s">
        <v>40</v>
      </c>
      <c r="F1207" t="s">
        <v>57</v>
      </c>
      <c r="G1207" t="s">
        <v>42</v>
      </c>
      <c r="H1207">
        <v>0</v>
      </c>
      <c r="I1207">
        <v>0</v>
      </c>
      <c r="J1207">
        <v>0</v>
      </c>
      <c r="K1207">
        <v>0</v>
      </c>
      <c r="L1207">
        <v>0</v>
      </c>
      <c r="M1207">
        <v>0</v>
      </c>
      <c r="N1207">
        <v>0</v>
      </c>
      <c r="O1207">
        <v>0</v>
      </c>
      <c r="Q1207">
        <v>47.7</v>
      </c>
    </row>
    <row r="1208" spans="1:17">
      <c r="A1208" t="s">
        <v>1254</v>
      </c>
      <c r="B1208" s="8">
        <v>45733</v>
      </c>
      <c r="C1208" t="s">
        <v>2</v>
      </c>
      <c r="D1208" t="s">
        <v>34</v>
      </c>
      <c r="E1208" t="s">
        <v>40</v>
      </c>
      <c r="F1208" t="s">
        <v>41</v>
      </c>
      <c r="G1208" t="s">
        <v>42</v>
      </c>
      <c r="H1208">
        <v>0</v>
      </c>
      <c r="I1208">
        <v>0</v>
      </c>
      <c r="J1208">
        <v>0</v>
      </c>
      <c r="K1208">
        <v>0</v>
      </c>
      <c r="L1208">
        <v>0</v>
      </c>
      <c r="M1208">
        <v>0</v>
      </c>
      <c r="N1208">
        <v>0</v>
      </c>
      <c r="O1208">
        <v>0</v>
      </c>
      <c r="Q1208">
        <v>59.1</v>
      </c>
    </row>
    <row r="1209" spans="1:17">
      <c r="A1209" t="s">
        <v>1255</v>
      </c>
      <c r="B1209" s="8">
        <v>45709</v>
      </c>
      <c r="C1209" t="s">
        <v>2</v>
      </c>
      <c r="D1209" t="s">
        <v>39</v>
      </c>
      <c r="E1209" t="s">
        <v>35</v>
      </c>
      <c r="F1209" t="s">
        <v>57</v>
      </c>
      <c r="G1209" t="s">
        <v>37</v>
      </c>
      <c r="H1209">
        <v>1</v>
      </c>
      <c r="I1209">
        <v>0</v>
      </c>
      <c r="J1209">
        <v>0</v>
      </c>
      <c r="K1209">
        <v>0</v>
      </c>
      <c r="L1209">
        <v>0</v>
      </c>
      <c r="M1209">
        <v>1</v>
      </c>
      <c r="N1209">
        <v>1</v>
      </c>
      <c r="O1209">
        <v>0</v>
      </c>
      <c r="Q1209">
        <v>68.7</v>
      </c>
    </row>
    <row r="1210" spans="1:17">
      <c r="A1210" t="s">
        <v>1256</v>
      </c>
      <c r="B1210" s="8">
        <v>45755</v>
      </c>
      <c r="C1210" t="s">
        <v>2</v>
      </c>
      <c r="D1210" t="s">
        <v>44</v>
      </c>
      <c r="E1210" t="s">
        <v>50</v>
      </c>
      <c r="F1210" t="s">
        <v>41</v>
      </c>
      <c r="G1210" t="s">
        <v>37</v>
      </c>
      <c r="H1210">
        <v>0</v>
      </c>
      <c r="I1210">
        <v>0</v>
      </c>
      <c r="J1210">
        <v>0</v>
      </c>
      <c r="K1210">
        <v>0</v>
      </c>
      <c r="L1210">
        <v>0</v>
      </c>
      <c r="M1210">
        <v>0</v>
      </c>
      <c r="N1210">
        <v>0</v>
      </c>
      <c r="O1210">
        <v>0</v>
      </c>
      <c r="Q1210">
        <v>34.700000000000003</v>
      </c>
    </row>
    <row r="1211" spans="1:17">
      <c r="A1211" t="s">
        <v>1257</v>
      </c>
      <c r="B1211" s="8">
        <v>45712</v>
      </c>
      <c r="C1211" t="s">
        <v>2</v>
      </c>
      <c r="D1211" t="s">
        <v>39</v>
      </c>
      <c r="E1211" t="s">
        <v>40</v>
      </c>
      <c r="F1211" t="s">
        <v>41</v>
      </c>
      <c r="G1211" t="s">
        <v>37</v>
      </c>
      <c r="H1211">
        <v>1</v>
      </c>
      <c r="I1211">
        <v>0</v>
      </c>
      <c r="J1211">
        <v>0</v>
      </c>
      <c r="K1211">
        <v>0</v>
      </c>
      <c r="L1211">
        <v>0</v>
      </c>
      <c r="M1211">
        <v>0</v>
      </c>
      <c r="N1211">
        <v>0</v>
      </c>
      <c r="O1211">
        <v>0</v>
      </c>
      <c r="Q1211">
        <v>62</v>
      </c>
    </row>
    <row r="1212" spans="1:17">
      <c r="A1212" t="s">
        <v>1258</v>
      </c>
      <c r="B1212" s="8">
        <v>45806</v>
      </c>
      <c r="C1212" t="s">
        <v>2</v>
      </c>
      <c r="D1212" t="s">
        <v>48</v>
      </c>
      <c r="E1212" t="s">
        <v>40</v>
      </c>
      <c r="F1212" t="s">
        <v>41</v>
      </c>
      <c r="G1212" t="s">
        <v>42</v>
      </c>
      <c r="H1212">
        <v>1</v>
      </c>
      <c r="I1212">
        <v>1</v>
      </c>
      <c r="J1212">
        <v>0</v>
      </c>
      <c r="K1212">
        <v>0</v>
      </c>
      <c r="L1212">
        <v>0</v>
      </c>
      <c r="M1212">
        <v>0</v>
      </c>
      <c r="N1212">
        <v>0</v>
      </c>
      <c r="O1212">
        <v>0</v>
      </c>
      <c r="Q1212">
        <v>56</v>
      </c>
    </row>
    <row r="1213" spans="1:17">
      <c r="A1213" t="s">
        <v>1259</v>
      </c>
      <c r="B1213" s="8">
        <v>45807</v>
      </c>
      <c r="C1213" t="s">
        <v>2</v>
      </c>
      <c r="D1213" t="s">
        <v>34</v>
      </c>
      <c r="E1213" t="s">
        <v>40</v>
      </c>
      <c r="F1213" t="s">
        <v>36</v>
      </c>
      <c r="G1213" t="s">
        <v>37</v>
      </c>
      <c r="H1213">
        <v>1</v>
      </c>
      <c r="I1213">
        <v>0</v>
      </c>
      <c r="J1213">
        <v>0</v>
      </c>
      <c r="K1213">
        <v>0</v>
      </c>
      <c r="L1213">
        <v>0</v>
      </c>
      <c r="M1213">
        <v>1</v>
      </c>
      <c r="N1213">
        <v>1</v>
      </c>
      <c r="O1213">
        <v>0</v>
      </c>
      <c r="Q1213">
        <v>65.8</v>
      </c>
    </row>
    <row r="1214" spans="1:17">
      <c r="A1214" t="s">
        <v>1260</v>
      </c>
      <c r="B1214" s="8">
        <v>45681</v>
      </c>
      <c r="C1214" t="s">
        <v>2</v>
      </c>
      <c r="D1214" t="s">
        <v>34</v>
      </c>
      <c r="E1214" t="s">
        <v>35</v>
      </c>
      <c r="F1214" t="s">
        <v>41</v>
      </c>
      <c r="G1214" t="s">
        <v>46</v>
      </c>
      <c r="H1214">
        <v>0</v>
      </c>
      <c r="I1214">
        <v>0</v>
      </c>
      <c r="J1214">
        <v>0</v>
      </c>
      <c r="K1214">
        <v>0</v>
      </c>
      <c r="L1214">
        <v>0</v>
      </c>
      <c r="M1214">
        <v>0</v>
      </c>
      <c r="N1214">
        <v>0</v>
      </c>
      <c r="O1214">
        <v>0</v>
      </c>
      <c r="Q1214">
        <v>54.7</v>
      </c>
    </row>
    <row r="1215" spans="1:17">
      <c r="A1215" t="s">
        <v>1261</v>
      </c>
      <c r="B1215" s="8">
        <v>45789</v>
      </c>
      <c r="C1215" t="s">
        <v>2</v>
      </c>
      <c r="D1215" t="s">
        <v>48</v>
      </c>
      <c r="E1215" t="s">
        <v>40</v>
      </c>
      <c r="F1215" t="s">
        <v>41</v>
      </c>
      <c r="G1215" t="s">
        <v>37</v>
      </c>
      <c r="H1215">
        <v>1</v>
      </c>
      <c r="I1215">
        <v>1</v>
      </c>
      <c r="J1215">
        <v>0</v>
      </c>
      <c r="K1215">
        <v>0</v>
      </c>
      <c r="L1215">
        <v>0</v>
      </c>
      <c r="M1215">
        <v>0</v>
      </c>
      <c r="N1215">
        <v>0</v>
      </c>
      <c r="O1215">
        <v>0</v>
      </c>
      <c r="Q1215">
        <v>64.099999999999994</v>
      </c>
    </row>
    <row r="1216" spans="1:17">
      <c r="A1216" t="s">
        <v>1262</v>
      </c>
      <c r="B1216" s="8">
        <v>45744</v>
      </c>
      <c r="C1216" t="s">
        <v>2</v>
      </c>
      <c r="D1216" t="s">
        <v>48</v>
      </c>
      <c r="E1216" t="s">
        <v>40</v>
      </c>
      <c r="F1216" t="s">
        <v>41</v>
      </c>
      <c r="G1216" t="s">
        <v>37</v>
      </c>
      <c r="H1216">
        <v>1</v>
      </c>
      <c r="I1216">
        <v>1</v>
      </c>
      <c r="J1216">
        <v>1</v>
      </c>
      <c r="K1216">
        <v>0</v>
      </c>
      <c r="L1216">
        <v>0</v>
      </c>
      <c r="M1216">
        <v>0</v>
      </c>
      <c r="N1216">
        <v>0</v>
      </c>
      <c r="O1216">
        <v>0</v>
      </c>
      <c r="Q1216">
        <v>71.599999999999994</v>
      </c>
    </row>
    <row r="1217" spans="1:17">
      <c r="A1217" t="s">
        <v>1263</v>
      </c>
      <c r="B1217" s="8">
        <v>45761</v>
      </c>
      <c r="C1217" t="s">
        <v>2</v>
      </c>
      <c r="D1217" t="s">
        <v>34</v>
      </c>
      <c r="E1217" t="s">
        <v>40</v>
      </c>
      <c r="F1217" t="s">
        <v>55</v>
      </c>
      <c r="G1217" t="s">
        <v>37</v>
      </c>
      <c r="H1217">
        <v>1</v>
      </c>
      <c r="I1217">
        <v>0</v>
      </c>
      <c r="J1217">
        <v>0</v>
      </c>
      <c r="K1217">
        <v>0</v>
      </c>
      <c r="L1217">
        <v>0</v>
      </c>
      <c r="M1217">
        <v>0</v>
      </c>
      <c r="N1217">
        <v>0</v>
      </c>
      <c r="O1217">
        <v>0</v>
      </c>
      <c r="Q1217">
        <v>78.400000000000006</v>
      </c>
    </row>
    <row r="1218" spans="1:17">
      <c r="A1218" t="s">
        <v>1264</v>
      </c>
      <c r="B1218" s="8">
        <v>45685</v>
      </c>
      <c r="C1218" t="s">
        <v>2</v>
      </c>
      <c r="D1218" t="s">
        <v>44</v>
      </c>
      <c r="E1218" t="s">
        <v>50</v>
      </c>
      <c r="F1218" t="s">
        <v>55</v>
      </c>
      <c r="G1218" t="s">
        <v>37</v>
      </c>
      <c r="H1218">
        <v>0</v>
      </c>
      <c r="I1218">
        <v>0</v>
      </c>
      <c r="J1218">
        <v>0</v>
      </c>
      <c r="K1218">
        <v>0</v>
      </c>
      <c r="L1218">
        <v>0</v>
      </c>
      <c r="M1218">
        <v>0</v>
      </c>
      <c r="N1218">
        <v>0</v>
      </c>
      <c r="O1218">
        <v>0</v>
      </c>
      <c r="Q1218">
        <v>49.3</v>
      </c>
    </row>
    <row r="1219" spans="1:17">
      <c r="A1219" t="s">
        <v>1265</v>
      </c>
      <c r="B1219" s="8">
        <v>45798</v>
      </c>
      <c r="C1219" t="s">
        <v>2</v>
      </c>
      <c r="D1219" t="s">
        <v>34</v>
      </c>
      <c r="E1219" t="s">
        <v>40</v>
      </c>
      <c r="F1219" t="s">
        <v>41</v>
      </c>
      <c r="G1219" t="s">
        <v>37</v>
      </c>
      <c r="H1219">
        <v>0</v>
      </c>
      <c r="I1219">
        <v>0</v>
      </c>
      <c r="J1219">
        <v>0</v>
      </c>
      <c r="K1219">
        <v>0</v>
      </c>
      <c r="L1219">
        <v>0</v>
      </c>
      <c r="M1219">
        <v>0</v>
      </c>
      <c r="N1219">
        <v>0</v>
      </c>
      <c r="O1219">
        <v>0</v>
      </c>
      <c r="Q1219">
        <v>52.8</v>
      </c>
    </row>
    <row r="1220" spans="1:17">
      <c r="A1220" t="s">
        <v>1266</v>
      </c>
      <c r="B1220" s="8">
        <v>45788</v>
      </c>
      <c r="C1220" t="s">
        <v>2</v>
      </c>
      <c r="D1220" t="s">
        <v>39</v>
      </c>
      <c r="E1220" t="s">
        <v>35</v>
      </c>
      <c r="F1220" t="s">
        <v>41</v>
      </c>
      <c r="G1220" t="s">
        <v>42</v>
      </c>
      <c r="H1220">
        <v>0</v>
      </c>
      <c r="I1220">
        <v>0</v>
      </c>
      <c r="J1220">
        <v>0</v>
      </c>
      <c r="K1220">
        <v>0</v>
      </c>
      <c r="L1220">
        <v>0</v>
      </c>
      <c r="M1220">
        <v>0</v>
      </c>
      <c r="N1220">
        <v>0</v>
      </c>
      <c r="O1220">
        <v>0</v>
      </c>
      <c r="Q1220">
        <v>58.5</v>
      </c>
    </row>
    <row r="1221" spans="1:17">
      <c r="A1221" t="s">
        <v>1267</v>
      </c>
      <c r="B1221" s="8">
        <v>45690</v>
      </c>
      <c r="C1221" t="s">
        <v>2</v>
      </c>
      <c r="D1221" t="s">
        <v>48</v>
      </c>
      <c r="E1221" t="s">
        <v>40</v>
      </c>
      <c r="F1221" t="s">
        <v>45</v>
      </c>
      <c r="G1221" t="s">
        <v>42</v>
      </c>
      <c r="H1221">
        <v>1</v>
      </c>
      <c r="I1221">
        <v>0</v>
      </c>
      <c r="J1221">
        <v>0</v>
      </c>
      <c r="K1221">
        <v>0</v>
      </c>
      <c r="L1221">
        <v>0</v>
      </c>
      <c r="M1221">
        <v>0</v>
      </c>
      <c r="N1221">
        <v>0</v>
      </c>
      <c r="O1221">
        <v>0</v>
      </c>
      <c r="Q1221">
        <v>55.9</v>
      </c>
    </row>
    <row r="1222" spans="1:17">
      <c r="A1222" t="s">
        <v>1268</v>
      </c>
      <c r="B1222" s="8">
        <v>45714</v>
      </c>
      <c r="C1222" t="s">
        <v>2</v>
      </c>
      <c r="D1222" t="s">
        <v>34</v>
      </c>
      <c r="E1222" t="s">
        <v>40</v>
      </c>
      <c r="F1222" t="s">
        <v>57</v>
      </c>
      <c r="G1222" t="s">
        <v>42</v>
      </c>
      <c r="H1222">
        <v>1</v>
      </c>
      <c r="I1222">
        <v>1</v>
      </c>
      <c r="J1222">
        <v>1</v>
      </c>
      <c r="K1222">
        <v>1</v>
      </c>
      <c r="L1222">
        <v>351.43</v>
      </c>
      <c r="M1222">
        <v>1</v>
      </c>
      <c r="N1222">
        <v>1</v>
      </c>
      <c r="O1222">
        <v>0</v>
      </c>
      <c r="P1222">
        <v>6</v>
      </c>
      <c r="Q1222">
        <v>74.900000000000006</v>
      </c>
    </row>
    <row r="1223" spans="1:17">
      <c r="A1223" t="s">
        <v>1269</v>
      </c>
      <c r="B1223" s="8">
        <v>45715</v>
      </c>
      <c r="C1223" t="s">
        <v>2</v>
      </c>
      <c r="D1223" t="s">
        <v>48</v>
      </c>
      <c r="E1223" t="s">
        <v>35</v>
      </c>
      <c r="F1223" t="s">
        <v>55</v>
      </c>
      <c r="G1223" t="s">
        <v>42</v>
      </c>
      <c r="H1223">
        <v>1</v>
      </c>
      <c r="I1223">
        <v>1</v>
      </c>
      <c r="J1223">
        <v>1</v>
      </c>
      <c r="K1223">
        <v>1</v>
      </c>
      <c r="L1223">
        <v>352.42</v>
      </c>
      <c r="M1223">
        <v>0</v>
      </c>
      <c r="N1223">
        <v>0</v>
      </c>
      <c r="O1223">
        <v>0</v>
      </c>
      <c r="P1223">
        <v>4</v>
      </c>
      <c r="Q1223">
        <v>58.5</v>
      </c>
    </row>
    <row r="1224" spans="1:17">
      <c r="A1224" t="s">
        <v>1270</v>
      </c>
      <c r="B1224" s="8">
        <v>45725</v>
      </c>
      <c r="C1224" t="s">
        <v>2</v>
      </c>
      <c r="D1224" t="s">
        <v>39</v>
      </c>
      <c r="E1224" t="s">
        <v>40</v>
      </c>
      <c r="F1224" t="s">
        <v>41</v>
      </c>
      <c r="G1224" t="s">
        <v>42</v>
      </c>
      <c r="H1224">
        <v>0</v>
      </c>
      <c r="I1224">
        <v>0</v>
      </c>
      <c r="J1224">
        <v>0</v>
      </c>
      <c r="K1224">
        <v>0</v>
      </c>
      <c r="L1224">
        <v>0</v>
      </c>
      <c r="M1224">
        <v>0</v>
      </c>
      <c r="N1224">
        <v>0</v>
      </c>
      <c r="O1224">
        <v>0</v>
      </c>
      <c r="Q1224">
        <v>63.5</v>
      </c>
    </row>
    <row r="1225" spans="1:17">
      <c r="A1225" t="s">
        <v>1271</v>
      </c>
      <c r="B1225" s="8">
        <v>45695</v>
      </c>
      <c r="C1225" t="s">
        <v>2</v>
      </c>
      <c r="D1225" t="s">
        <v>34</v>
      </c>
      <c r="E1225" t="s">
        <v>40</v>
      </c>
      <c r="F1225" t="s">
        <v>45</v>
      </c>
      <c r="G1225" t="s">
        <v>37</v>
      </c>
      <c r="H1225">
        <v>1</v>
      </c>
      <c r="I1225">
        <v>0</v>
      </c>
      <c r="J1225">
        <v>0</v>
      </c>
      <c r="K1225">
        <v>0</v>
      </c>
      <c r="L1225">
        <v>0</v>
      </c>
      <c r="M1225">
        <v>1</v>
      </c>
      <c r="N1225">
        <v>1</v>
      </c>
      <c r="O1225">
        <v>0</v>
      </c>
      <c r="Q1225">
        <v>64.8</v>
      </c>
    </row>
    <row r="1226" spans="1:17">
      <c r="A1226" t="s">
        <v>1272</v>
      </c>
      <c r="B1226" s="8">
        <v>45688</v>
      </c>
      <c r="C1226" t="s">
        <v>2</v>
      </c>
      <c r="D1226" t="s">
        <v>39</v>
      </c>
      <c r="E1226" t="s">
        <v>40</v>
      </c>
      <c r="F1226" t="s">
        <v>57</v>
      </c>
      <c r="G1226" t="s">
        <v>42</v>
      </c>
      <c r="H1226">
        <v>0</v>
      </c>
      <c r="I1226">
        <v>0</v>
      </c>
      <c r="J1226">
        <v>0</v>
      </c>
      <c r="K1226">
        <v>0</v>
      </c>
      <c r="L1226">
        <v>0</v>
      </c>
      <c r="M1226">
        <v>0</v>
      </c>
      <c r="N1226">
        <v>0</v>
      </c>
      <c r="O1226">
        <v>0</v>
      </c>
      <c r="Q1226">
        <v>63.3</v>
      </c>
    </row>
    <row r="1227" spans="1:17">
      <c r="A1227" t="s">
        <v>1273</v>
      </c>
      <c r="B1227" s="8">
        <v>45702</v>
      </c>
      <c r="C1227" t="s">
        <v>2</v>
      </c>
      <c r="D1227" t="s">
        <v>34</v>
      </c>
      <c r="E1227" t="s">
        <v>50</v>
      </c>
      <c r="F1227" t="s">
        <v>45</v>
      </c>
      <c r="G1227" t="s">
        <v>37</v>
      </c>
      <c r="H1227">
        <v>1</v>
      </c>
      <c r="I1227">
        <v>1</v>
      </c>
      <c r="J1227">
        <v>1</v>
      </c>
      <c r="K1227">
        <v>1</v>
      </c>
      <c r="L1227">
        <v>1074.1600000000001</v>
      </c>
      <c r="M1227">
        <v>0</v>
      </c>
      <c r="N1227">
        <v>0</v>
      </c>
      <c r="O1227">
        <v>0</v>
      </c>
      <c r="P1227">
        <v>8</v>
      </c>
      <c r="Q1227">
        <v>83.7</v>
      </c>
    </row>
    <row r="1228" spans="1:17">
      <c r="A1228" t="s">
        <v>1274</v>
      </c>
      <c r="B1228" s="8">
        <v>45700</v>
      </c>
      <c r="C1228" t="s">
        <v>2</v>
      </c>
      <c r="D1228" t="s">
        <v>48</v>
      </c>
      <c r="E1228" t="s">
        <v>35</v>
      </c>
      <c r="F1228" t="s">
        <v>57</v>
      </c>
      <c r="G1228" t="s">
        <v>37</v>
      </c>
      <c r="H1228">
        <v>0</v>
      </c>
      <c r="I1228">
        <v>0</v>
      </c>
      <c r="J1228">
        <v>0</v>
      </c>
      <c r="K1228">
        <v>0</v>
      </c>
      <c r="L1228">
        <v>0</v>
      </c>
      <c r="M1228">
        <v>0</v>
      </c>
      <c r="N1228">
        <v>0</v>
      </c>
      <c r="O1228">
        <v>0</v>
      </c>
      <c r="Q1228">
        <v>88.7</v>
      </c>
    </row>
    <row r="1229" spans="1:17">
      <c r="A1229" t="s">
        <v>1275</v>
      </c>
      <c r="B1229" s="8">
        <v>45739</v>
      </c>
      <c r="C1229" t="s">
        <v>2</v>
      </c>
      <c r="D1229" t="s">
        <v>44</v>
      </c>
      <c r="F1229" t="s">
        <v>45</v>
      </c>
      <c r="G1229" t="s">
        <v>42</v>
      </c>
      <c r="H1229">
        <v>1</v>
      </c>
      <c r="I1229">
        <v>0</v>
      </c>
      <c r="J1229">
        <v>0</v>
      </c>
      <c r="K1229">
        <v>0</v>
      </c>
      <c r="L1229">
        <v>0</v>
      </c>
      <c r="M1229">
        <v>1</v>
      </c>
      <c r="N1229">
        <v>1</v>
      </c>
      <c r="O1229">
        <v>0</v>
      </c>
      <c r="Q1229">
        <v>61.5</v>
      </c>
    </row>
    <row r="1230" spans="1:17">
      <c r="A1230" t="s">
        <v>1276</v>
      </c>
      <c r="B1230" s="8">
        <v>45734</v>
      </c>
      <c r="C1230" t="s">
        <v>2</v>
      </c>
      <c r="D1230" t="s">
        <v>39</v>
      </c>
      <c r="E1230" t="s">
        <v>40</v>
      </c>
      <c r="F1230" t="s">
        <v>45</v>
      </c>
      <c r="G1230" t="s">
        <v>42</v>
      </c>
      <c r="H1230">
        <v>0</v>
      </c>
      <c r="I1230">
        <v>0</v>
      </c>
      <c r="J1230">
        <v>0</v>
      </c>
      <c r="K1230">
        <v>0</v>
      </c>
      <c r="L1230">
        <v>0</v>
      </c>
      <c r="M1230">
        <v>0</v>
      </c>
      <c r="N1230">
        <v>0</v>
      </c>
      <c r="O1230">
        <v>0</v>
      </c>
      <c r="Q1230">
        <v>45.3</v>
      </c>
    </row>
    <row r="1231" spans="1:17">
      <c r="A1231" t="s">
        <v>1277</v>
      </c>
      <c r="B1231" s="8">
        <v>45794</v>
      </c>
      <c r="C1231" t="s">
        <v>2</v>
      </c>
      <c r="D1231" t="s">
        <v>34</v>
      </c>
      <c r="E1231" t="s">
        <v>40</v>
      </c>
      <c r="F1231" t="s">
        <v>57</v>
      </c>
      <c r="G1231" t="s">
        <v>42</v>
      </c>
      <c r="H1231">
        <v>1</v>
      </c>
      <c r="I1231">
        <v>0</v>
      </c>
      <c r="J1231">
        <v>0</v>
      </c>
      <c r="K1231">
        <v>0</v>
      </c>
      <c r="L1231">
        <v>0</v>
      </c>
      <c r="M1231">
        <v>0</v>
      </c>
      <c r="N1231">
        <v>0</v>
      </c>
      <c r="O1231">
        <v>0</v>
      </c>
      <c r="Q1231">
        <v>37.299999999999997</v>
      </c>
    </row>
    <row r="1232" spans="1:17">
      <c r="A1232" t="s">
        <v>1278</v>
      </c>
      <c r="B1232" s="8">
        <v>45742</v>
      </c>
      <c r="C1232" t="s">
        <v>2</v>
      </c>
      <c r="D1232" t="s">
        <v>39</v>
      </c>
      <c r="E1232" t="s">
        <v>35</v>
      </c>
      <c r="F1232" t="s">
        <v>57</v>
      </c>
      <c r="G1232" t="s">
        <v>46</v>
      </c>
      <c r="H1232">
        <v>1</v>
      </c>
      <c r="I1232">
        <v>0</v>
      </c>
      <c r="J1232">
        <v>0</v>
      </c>
      <c r="K1232">
        <v>0</v>
      </c>
      <c r="L1232">
        <v>0</v>
      </c>
      <c r="M1232">
        <v>1</v>
      </c>
      <c r="N1232">
        <v>1</v>
      </c>
      <c r="O1232">
        <v>0</v>
      </c>
      <c r="Q1232">
        <v>76.099999999999994</v>
      </c>
    </row>
    <row r="1233" spans="1:17">
      <c r="A1233" t="s">
        <v>1279</v>
      </c>
      <c r="B1233" s="8">
        <v>45746</v>
      </c>
      <c r="C1233" t="s">
        <v>2</v>
      </c>
      <c r="D1233" t="s">
        <v>44</v>
      </c>
      <c r="E1233" t="s">
        <v>40</v>
      </c>
      <c r="F1233" t="s">
        <v>41</v>
      </c>
      <c r="G1233" t="s">
        <v>42</v>
      </c>
      <c r="H1233">
        <v>1</v>
      </c>
      <c r="I1233">
        <v>1</v>
      </c>
      <c r="J1233">
        <v>1</v>
      </c>
      <c r="K1233">
        <v>0</v>
      </c>
      <c r="L1233">
        <v>0</v>
      </c>
      <c r="M1233">
        <v>1</v>
      </c>
      <c r="N1233">
        <v>1</v>
      </c>
      <c r="O1233">
        <v>0</v>
      </c>
      <c r="Q1233">
        <v>72.5</v>
      </c>
    </row>
    <row r="1234" spans="1:17">
      <c r="A1234" t="s">
        <v>1280</v>
      </c>
      <c r="B1234" s="8">
        <v>45713</v>
      </c>
      <c r="C1234" t="s">
        <v>2</v>
      </c>
      <c r="D1234" t="s">
        <v>44</v>
      </c>
      <c r="E1234" t="s">
        <v>35</v>
      </c>
      <c r="F1234" t="s">
        <v>41</v>
      </c>
      <c r="G1234" t="s">
        <v>42</v>
      </c>
      <c r="H1234">
        <v>1</v>
      </c>
      <c r="I1234">
        <v>0</v>
      </c>
      <c r="J1234">
        <v>0</v>
      </c>
      <c r="K1234">
        <v>0</v>
      </c>
      <c r="L1234">
        <v>0</v>
      </c>
      <c r="M1234">
        <v>0</v>
      </c>
      <c r="N1234">
        <v>0</v>
      </c>
      <c r="O1234">
        <v>0</v>
      </c>
      <c r="Q1234">
        <v>62.3</v>
      </c>
    </row>
    <row r="1235" spans="1:17">
      <c r="A1235" t="s">
        <v>1281</v>
      </c>
      <c r="B1235" s="8">
        <v>45717</v>
      </c>
      <c r="C1235" t="s">
        <v>2</v>
      </c>
      <c r="D1235" t="s">
        <v>44</v>
      </c>
      <c r="E1235" t="s">
        <v>35</v>
      </c>
      <c r="F1235" t="s">
        <v>57</v>
      </c>
      <c r="G1235" t="s">
        <v>42</v>
      </c>
      <c r="H1235">
        <v>0</v>
      </c>
      <c r="I1235">
        <v>0</v>
      </c>
      <c r="J1235">
        <v>0</v>
      </c>
      <c r="K1235">
        <v>0</v>
      </c>
      <c r="L1235">
        <v>0</v>
      </c>
      <c r="M1235">
        <v>0</v>
      </c>
      <c r="N1235">
        <v>0</v>
      </c>
      <c r="O1235">
        <v>0</v>
      </c>
      <c r="Q1235">
        <v>62.7</v>
      </c>
    </row>
    <row r="1236" spans="1:17">
      <c r="A1236" t="s">
        <v>1282</v>
      </c>
      <c r="B1236" s="8">
        <v>45804</v>
      </c>
      <c r="C1236" t="s">
        <v>2</v>
      </c>
      <c r="D1236" t="s">
        <v>34</v>
      </c>
      <c r="E1236" t="s">
        <v>40</v>
      </c>
      <c r="F1236" t="s">
        <v>45</v>
      </c>
      <c r="G1236" t="s">
        <v>37</v>
      </c>
      <c r="H1236">
        <v>0</v>
      </c>
      <c r="I1236">
        <v>0</v>
      </c>
      <c r="J1236">
        <v>0</v>
      </c>
      <c r="K1236">
        <v>0</v>
      </c>
      <c r="L1236">
        <v>0</v>
      </c>
      <c r="M1236">
        <v>0</v>
      </c>
      <c r="N1236">
        <v>0</v>
      </c>
      <c r="O1236">
        <v>0</v>
      </c>
      <c r="Q1236">
        <v>82.4</v>
      </c>
    </row>
    <row r="1237" spans="1:17">
      <c r="A1237" t="s">
        <v>1283</v>
      </c>
      <c r="B1237" s="8">
        <v>45693</v>
      </c>
      <c r="C1237" t="s">
        <v>2</v>
      </c>
      <c r="D1237" t="s">
        <v>39</v>
      </c>
      <c r="E1237" t="s">
        <v>40</v>
      </c>
      <c r="G1237" t="s">
        <v>46</v>
      </c>
      <c r="H1237">
        <v>1</v>
      </c>
      <c r="I1237">
        <v>0</v>
      </c>
      <c r="J1237">
        <v>0</v>
      </c>
      <c r="K1237">
        <v>0</v>
      </c>
      <c r="L1237">
        <v>0</v>
      </c>
      <c r="M1237">
        <v>0</v>
      </c>
      <c r="N1237">
        <v>0</v>
      </c>
      <c r="O1237">
        <v>0</v>
      </c>
      <c r="Q1237">
        <v>78.900000000000006</v>
      </c>
    </row>
    <row r="1238" spans="1:17">
      <c r="A1238" t="s">
        <v>1284</v>
      </c>
      <c r="B1238" s="8">
        <v>45682</v>
      </c>
      <c r="C1238" t="s">
        <v>2</v>
      </c>
      <c r="D1238" t="s">
        <v>39</v>
      </c>
      <c r="E1238" t="s">
        <v>35</v>
      </c>
      <c r="F1238" t="s">
        <v>36</v>
      </c>
      <c r="G1238" t="s">
        <v>42</v>
      </c>
      <c r="H1238">
        <v>1</v>
      </c>
      <c r="I1238">
        <v>1</v>
      </c>
      <c r="J1238">
        <v>1</v>
      </c>
      <c r="K1238">
        <v>1</v>
      </c>
      <c r="L1238">
        <v>618.91</v>
      </c>
      <c r="M1238">
        <v>0</v>
      </c>
      <c r="N1238">
        <v>0</v>
      </c>
      <c r="O1238">
        <v>0</v>
      </c>
      <c r="P1238">
        <v>4</v>
      </c>
      <c r="Q1238">
        <v>67.8</v>
      </c>
    </row>
    <row r="1239" spans="1:17">
      <c r="A1239" t="s">
        <v>1285</v>
      </c>
      <c r="B1239" s="8">
        <v>45757</v>
      </c>
      <c r="C1239" t="s">
        <v>2</v>
      </c>
      <c r="D1239" t="s">
        <v>44</v>
      </c>
      <c r="E1239" t="s">
        <v>40</v>
      </c>
      <c r="F1239" t="s">
        <v>41</v>
      </c>
      <c r="G1239" t="s">
        <v>46</v>
      </c>
      <c r="H1239">
        <v>1</v>
      </c>
      <c r="I1239">
        <v>0</v>
      </c>
      <c r="J1239">
        <v>0</v>
      </c>
      <c r="K1239">
        <v>0</v>
      </c>
      <c r="L1239">
        <v>0</v>
      </c>
      <c r="M1239">
        <v>0</v>
      </c>
      <c r="N1239">
        <v>0</v>
      </c>
      <c r="O1239">
        <v>0</v>
      </c>
      <c r="Q1239">
        <v>68.8</v>
      </c>
    </row>
    <row r="1240" spans="1:17">
      <c r="A1240" t="s">
        <v>1286</v>
      </c>
      <c r="B1240" s="8">
        <v>45667</v>
      </c>
      <c r="C1240" t="s">
        <v>2</v>
      </c>
      <c r="D1240" t="s">
        <v>44</v>
      </c>
      <c r="E1240" t="s">
        <v>40</v>
      </c>
      <c r="F1240" t="s">
        <v>41</v>
      </c>
      <c r="G1240" t="s">
        <v>46</v>
      </c>
      <c r="H1240">
        <v>1</v>
      </c>
      <c r="I1240">
        <v>0</v>
      </c>
      <c r="J1240">
        <v>0</v>
      </c>
      <c r="K1240">
        <v>0</v>
      </c>
      <c r="L1240">
        <v>0</v>
      </c>
      <c r="M1240">
        <v>0</v>
      </c>
      <c r="N1240">
        <v>0</v>
      </c>
      <c r="O1240">
        <v>0</v>
      </c>
      <c r="Q1240">
        <v>67.7</v>
      </c>
    </row>
    <row r="1241" spans="1:17">
      <c r="A1241" t="s">
        <v>1287</v>
      </c>
      <c r="B1241" s="8">
        <v>45711</v>
      </c>
      <c r="C1241" t="s">
        <v>2</v>
      </c>
      <c r="D1241" t="s">
        <v>44</v>
      </c>
      <c r="E1241" t="s">
        <v>40</v>
      </c>
      <c r="G1241" t="s">
        <v>42</v>
      </c>
      <c r="H1241">
        <v>0</v>
      </c>
      <c r="I1241">
        <v>0</v>
      </c>
      <c r="J1241">
        <v>0</v>
      </c>
      <c r="K1241">
        <v>0</v>
      </c>
      <c r="L1241">
        <v>0</v>
      </c>
      <c r="M1241">
        <v>0</v>
      </c>
      <c r="N1241">
        <v>0</v>
      </c>
      <c r="O1241">
        <v>0</v>
      </c>
      <c r="Q1241">
        <v>88</v>
      </c>
    </row>
    <row r="1242" spans="1:17">
      <c r="A1242" t="s">
        <v>1288</v>
      </c>
      <c r="B1242" s="8">
        <v>45800</v>
      </c>
      <c r="C1242" t="s">
        <v>2</v>
      </c>
      <c r="D1242" t="s">
        <v>39</v>
      </c>
      <c r="E1242" t="s">
        <v>35</v>
      </c>
      <c r="F1242" t="s">
        <v>41</v>
      </c>
      <c r="G1242" t="s">
        <v>37</v>
      </c>
      <c r="H1242">
        <v>1</v>
      </c>
      <c r="I1242">
        <v>1</v>
      </c>
      <c r="J1242">
        <v>0</v>
      </c>
      <c r="K1242">
        <v>0</v>
      </c>
      <c r="L1242">
        <v>0</v>
      </c>
      <c r="M1242">
        <v>0</v>
      </c>
      <c r="N1242">
        <v>0</v>
      </c>
      <c r="O1242">
        <v>0</v>
      </c>
      <c r="Q1242">
        <v>80.099999999999994</v>
      </c>
    </row>
    <row r="1243" spans="1:17">
      <c r="A1243" t="s">
        <v>1289</v>
      </c>
      <c r="B1243" s="8">
        <v>45724</v>
      </c>
      <c r="C1243" t="s">
        <v>2</v>
      </c>
      <c r="D1243" t="s">
        <v>34</v>
      </c>
      <c r="E1243" t="s">
        <v>50</v>
      </c>
      <c r="F1243" t="s">
        <v>36</v>
      </c>
      <c r="G1243" t="s">
        <v>37</v>
      </c>
      <c r="H1243">
        <v>0</v>
      </c>
      <c r="I1243">
        <v>0</v>
      </c>
      <c r="J1243">
        <v>0</v>
      </c>
      <c r="K1243">
        <v>0</v>
      </c>
      <c r="L1243">
        <v>0</v>
      </c>
      <c r="M1243">
        <v>1</v>
      </c>
      <c r="N1243">
        <v>1</v>
      </c>
      <c r="O1243">
        <v>0</v>
      </c>
      <c r="Q1243">
        <v>48.2</v>
      </c>
    </row>
    <row r="1244" spans="1:17">
      <c r="A1244" t="s">
        <v>1290</v>
      </c>
      <c r="B1244" s="8">
        <v>45798</v>
      </c>
      <c r="C1244" t="s">
        <v>2</v>
      </c>
      <c r="D1244" t="s">
        <v>44</v>
      </c>
      <c r="E1244" t="s">
        <v>40</v>
      </c>
      <c r="F1244" t="s">
        <v>41</v>
      </c>
      <c r="G1244" t="s">
        <v>37</v>
      </c>
      <c r="H1244">
        <v>1</v>
      </c>
      <c r="I1244">
        <v>0</v>
      </c>
      <c r="J1244">
        <v>0</v>
      </c>
      <c r="K1244">
        <v>0</v>
      </c>
      <c r="L1244">
        <v>0</v>
      </c>
      <c r="M1244">
        <v>0</v>
      </c>
      <c r="N1244">
        <v>0</v>
      </c>
      <c r="O1244">
        <v>0</v>
      </c>
      <c r="Q1244">
        <v>52.7</v>
      </c>
    </row>
    <row r="1245" spans="1:17">
      <c r="A1245" t="s">
        <v>1291</v>
      </c>
      <c r="B1245" s="8">
        <v>45769</v>
      </c>
      <c r="C1245" t="s">
        <v>2</v>
      </c>
      <c r="D1245" t="s">
        <v>34</v>
      </c>
      <c r="E1245" t="s">
        <v>40</v>
      </c>
      <c r="F1245" t="s">
        <v>36</v>
      </c>
      <c r="G1245" t="s">
        <v>37</v>
      </c>
      <c r="H1245">
        <v>1</v>
      </c>
      <c r="I1245">
        <v>1</v>
      </c>
      <c r="J1245">
        <v>0</v>
      </c>
      <c r="K1245">
        <v>0</v>
      </c>
      <c r="L1245">
        <v>0</v>
      </c>
      <c r="M1245">
        <v>0</v>
      </c>
      <c r="N1245">
        <v>0</v>
      </c>
      <c r="O1245">
        <v>0</v>
      </c>
      <c r="Q1245">
        <v>59.9</v>
      </c>
    </row>
    <row r="1246" spans="1:17">
      <c r="A1246" t="s">
        <v>1292</v>
      </c>
      <c r="B1246" s="8">
        <v>45763</v>
      </c>
      <c r="C1246" t="s">
        <v>2</v>
      </c>
      <c r="D1246" t="s">
        <v>34</v>
      </c>
      <c r="E1246" t="s">
        <v>40</v>
      </c>
      <c r="F1246" t="s">
        <v>36</v>
      </c>
      <c r="G1246" t="s">
        <v>46</v>
      </c>
      <c r="H1246">
        <v>1</v>
      </c>
      <c r="I1246">
        <v>0</v>
      </c>
      <c r="J1246">
        <v>0</v>
      </c>
      <c r="K1246">
        <v>0</v>
      </c>
      <c r="L1246">
        <v>0</v>
      </c>
      <c r="M1246">
        <v>0</v>
      </c>
      <c r="N1246">
        <v>0</v>
      </c>
      <c r="O1246">
        <v>0</v>
      </c>
      <c r="Q1246">
        <v>49.5</v>
      </c>
    </row>
    <row r="1247" spans="1:17">
      <c r="A1247" t="s">
        <v>1293</v>
      </c>
      <c r="B1247" s="8">
        <v>45785</v>
      </c>
      <c r="C1247" t="s">
        <v>2</v>
      </c>
      <c r="D1247" t="s">
        <v>34</v>
      </c>
      <c r="E1247" t="s">
        <v>50</v>
      </c>
      <c r="F1247" t="s">
        <v>41</v>
      </c>
      <c r="G1247" t="s">
        <v>42</v>
      </c>
      <c r="H1247">
        <v>1</v>
      </c>
      <c r="I1247">
        <v>0</v>
      </c>
      <c r="J1247">
        <v>0</v>
      </c>
      <c r="K1247">
        <v>0</v>
      </c>
      <c r="L1247">
        <v>0</v>
      </c>
      <c r="M1247">
        <v>0</v>
      </c>
      <c r="N1247">
        <v>0</v>
      </c>
      <c r="O1247">
        <v>0</v>
      </c>
      <c r="Q1247">
        <v>41.5</v>
      </c>
    </row>
    <row r="1248" spans="1:17">
      <c r="A1248" t="s">
        <v>1294</v>
      </c>
      <c r="B1248" s="8">
        <v>45799</v>
      </c>
      <c r="C1248" t="s">
        <v>2</v>
      </c>
      <c r="D1248" t="s">
        <v>34</v>
      </c>
      <c r="E1248" t="s">
        <v>40</v>
      </c>
      <c r="F1248" t="s">
        <v>45</v>
      </c>
      <c r="G1248" t="s">
        <v>37</v>
      </c>
      <c r="H1248">
        <v>1</v>
      </c>
      <c r="I1248">
        <v>0</v>
      </c>
      <c r="J1248">
        <v>0</v>
      </c>
      <c r="K1248">
        <v>0</v>
      </c>
      <c r="L1248">
        <v>0</v>
      </c>
      <c r="M1248">
        <v>0</v>
      </c>
      <c r="N1248">
        <v>0</v>
      </c>
      <c r="O1248">
        <v>0</v>
      </c>
      <c r="Q1248">
        <v>71.2</v>
      </c>
    </row>
    <row r="1249" spans="1:17">
      <c r="A1249" t="s">
        <v>1295</v>
      </c>
      <c r="B1249" s="8">
        <v>45737</v>
      </c>
      <c r="C1249" t="s">
        <v>2</v>
      </c>
      <c r="D1249" t="s">
        <v>34</v>
      </c>
      <c r="E1249" t="s">
        <v>40</v>
      </c>
      <c r="F1249" t="s">
        <v>55</v>
      </c>
      <c r="G1249" t="s">
        <v>37</v>
      </c>
      <c r="H1249">
        <v>1</v>
      </c>
      <c r="I1249">
        <v>1</v>
      </c>
      <c r="J1249">
        <v>1</v>
      </c>
      <c r="K1249">
        <v>0</v>
      </c>
      <c r="L1249">
        <v>0</v>
      </c>
      <c r="M1249">
        <v>0</v>
      </c>
      <c r="N1249">
        <v>0</v>
      </c>
      <c r="O1249">
        <v>0</v>
      </c>
      <c r="Q1249">
        <v>65.8</v>
      </c>
    </row>
    <row r="1250" spans="1:17">
      <c r="A1250" t="s">
        <v>1296</v>
      </c>
      <c r="B1250" s="8">
        <v>45738</v>
      </c>
      <c r="C1250" t="s">
        <v>2</v>
      </c>
      <c r="D1250" t="s">
        <v>44</v>
      </c>
      <c r="E1250" t="s">
        <v>40</v>
      </c>
      <c r="F1250" t="s">
        <v>41</v>
      </c>
      <c r="G1250" t="s">
        <v>37</v>
      </c>
      <c r="H1250">
        <v>1</v>
      </c>
      <c r="I1250">
        <v>0</v>
      </c>
      <c r="J1250">
        <v>0</v>
      </c>
      <c r="K1250">
        <v>0</v>
      </c>
      <c r="L1250">
        <v>0</v>
      </c>
      <c r="M1250">
        <v>1</v>
      </c>
      <c r="N1250">
        <v>1</v>
      </c>
      <c r="O1250">
        <v>0</v>
      </c>
      <c r="Q1250">
        <v>55.1</v>
      </c>
    </row>
    <row r="1251" spans="1:17">
      <c r="A1251" t="s">
        <v>1297</v>
      </c>
      <c r="B1251" s="8">
        <v>45667</v>
      </c>
      <c r="C1251" t="s">
        <v>2</v>
      </c>
      <c r="D1251" t="s">
        <v>39</v>
      </c>
      <c r="E1251" t="s">
        <v>35</v>
      </c>
      <c r="F1251" t="s">
        <v>57</v>
      </c>
      <c r="G1251" t="s">
        <v>42</v>
      </c>
      <c r="H1251">
        <v>1</v>
      </c>
      <c r="I1251">
        <v>0</v>
      </c>
      <c r="J1251">
        <v>0</v>
      </c>
      <c r="K1251">
        <v>0</v>
      </c>
      <c r="L1251">
        <v>0</v>
      </c>
      <c r="M1251">
        <v>0</v>
      </c>
      <c r="N1251">
        <v>0</v>
      </c>
      <c r="O1251">
        <v>0</v>
      </c>
      <c r="Q1251">
        <v>54.6</v>
      </c>
    </row>
    <row r="1252" spans="1:17">
      <c r="A1252" t="s">
        <v>1298</v>
      </c>
      <c r="B1252" s="8">
        <v>45689</v>
      </c>
      <c r="C1252" t="s">
        <v>2</v>
      </c>
      <c r="D1252" t="s">
        <v>44</v>
      </c>
      <c r="E1252" t="s">
        <v>40</v>
      </c>
      <c r="F1252" t="s">
        <v>41</v>
      </c>
      <c r="G1252" t="s">
        <v>37</v>
      </c>
      <c r="H1252">
        <v>1</v>
      </c>
      <c r="I1252">
        <v>1</v>
      </c>
      <c r="J1252">
        <v>1</v>
      </c>
      <c r="K1252">
        <v>1</v>
      </c>
      <c r="L1252">
        <v>923.67</v>
      </c>
      <c r="M1252">
        <v>0</v>
      </c>
      <c r="N1252">
        <v>0</v>
      </c>
      <c r="O1252">
        <v>0</v>
      </c>
      <c r="P1252">
        <v>4</v>
      </c>
      <c r="Q1252">
        <v>81.900000000000006</v>
      </c>
    </row>
    <row r="1253" spans="1:17">
      <c r="A1253" t="s">
        <v>1299</v>
      </c>
      <c r="B1253" s="8">
        <v>45747</v>
      </c>
      <c r="C1253" t="s">
        <v>2</v>
      </c>
      <c r="D1253" t="s">
        <v>48</v>
      </c>
      <c r="E1253" t="s">
        <v>40</v>
      </c>
      <c r="F1253" t="s">
        <v>45</v>
      </c>
      <c r="G1253" t="s">
        <v>37</v>
      </c>
      <c r="H1253">
        <v>1</v>
      </c>
      <c r="I1253">
        <v>1</v>
      </c>
      <c r="J1253">
        <v>0</v>
      </c>
      <c r="K1253">
        <v>0</v>
      </c>
      <c r="L1253">
        <v>0</v>
      </c>
      <c r="M1253">
        <v>3</v>
      </c>
      <c r="N1253">
        <v>1</v>
      </c>
      <c r="O1253">
        <v>0</v>
      </c>
      <c r="Q1253">
        <v>63.2</v>
      </c>
    </row>
    <row r="1254" spans="1:17">
      <c r="A1254" t="s">
        <v>1300</v>
      </c>
      <c r="B1254" s="8">
        <v>45772</v>
      </c>
      <c r="C1254" t="s">
        <v>2</v>
      </c>
      <c r="D1254" t="s">
        <v>34</v>
      </c>
      <c r="E1254" t="s">
        <v>40</v>
      </c>
      <c r="F1254" t="s">
        <v>45</v>
      </c>
      <c r="G1254" t="s">
        <v>42</v>
      </c>
      <c r="H1254">
        <v>1</v>
      </c>
      <c r="I1254">
        <v>0</v>
      </c>
      <c r="J1254">
        <v>0</v>
      </c>
      <c r="K1254">
        <v>0</v>
      </c>
      <c r="L1254">
        <v>0</v>
      </c>
      <c r="M1254">
        <v>0</v>
      </c>
      <c r="N1254">
        <v>0</v>
      </c>
      <c r="O1254">
        <v>0</v>
      </c>
      <c r="Q1254">
        <v>55.4</v>
      </c>
    </row>
    <row r="1255" spans="1:17">
      <c r="A1255" t="s">
        <v>1301</v>
      </c>
      <c r="B1255" s="8">
        <v>45779</v>
      </c>
      <c r="C1255" t="s">
        <v>2</v>
      </c>
      <c r="D1255" t="s">
        <v>39</v>
      </c>
      <c r="E1255" t="s">
        <v>40</v>
      </c>
      <c r="F1255" t="s">
        <v>57</v>
      </c>
      <c r="G1255" t="s">
        <v>37</v>
      </c>
      <c r="H1255">
        <v>0</v>
      </c>
      <c r="I1255">
        <v>0</v>
      </c>
      <c r="J1255">
        <v>0</v>
      </c>
      <c r="K1255">
        <v>0</v>
      </c>
      <c r="L1255">
        <v>0</v>
      </c>
      <c r="M1255">
        <v>0</v>
      </c>
      <c r="N1255">
        <v>0</v>
      </c>
      <c r="O1255">
        <v>0</v>
      </c>
      <c r="Q1255">
        <v>87.5</v>
      </c>
    </row>
    <row r="1256" spans="1:17">
      <c r="A1256" t="s">
        <v>1302</v>
      </c>
      <c r="B1256" s="8">
        <v>45724</v>
      </c>
      <c r="C1256" t="s">
        <v>2</v>
      </c>
      <c r="D1256" t="s">
        <v>48</v>
      </c>
      <c r="E1256" t="s">
        <v>35</v>
      </c>
      <c r="F1256" t="s">
        <v>57</v>
      </c>
      <c r="G1256" t="s">
        <v>37</v>
      </c>
      <c r="H1256">
        <v>1</v>
      </c>
      <c r="I1256">
        <v>0</v>
      </c>
      <c r="J1256">
        <v>0</v>
      </c>
      <c r="K1256">
        <v>0</v>
      </c>
      <c r="L1256">
        <v>0</v>
      </c>
      <c r="M1256">
        <v>0</v>
      </c>
      <c r="N1256">
        <v>0</v>
      </c>
      <c r="O1256">
        <v>0</v>
      </c>
      <c r="Q1256">
        <v>48.5</v>
      </c>
    </row>
    <row r="1257" spans="1:17">
      <c r="A1257" t="s">
        <v>1303</v>
      </c>
      <c r="B1257" s="8">
        <v>45684</v>
      </c>
      <c r="C1257" t="s">
        <v>2</v>
      </c>
      <c r="D1257" t="s">
        <v>44</v>
      </c>
      <c r="E1257" t="s">
        <v>35</v>
      </c>
      <c r="G1257" t="s">
        <v>42</v>
      </c>
      <c r="H1257">
        <v>1</v>
      </c>
      <c r="I1257">
        <v>1</v>
      </c>
      <c r="J1257">
        <v>1</v>
      </c>
      <c r="K1257">
        <v>1</v>
      </c>
      <c r="L1257">
        <v>420.27</v>
      </c>
      <c r="M1257">
        <v>0</v>
      </c>
      <c r="N1257">
        <v>0</v>
      </c>
      <c r="O1257">
        <v>0</v>
      </c>
      <c r="P1257">
        <v>6</v>
      </c>
      <c r="Q1257">
        <v>58.4</v>
      </c>
    </row>
    <row r="1258" spans="1:17">
      <c r="A1258" t="s">
        <v>1304</v>
      </c>
      <c r="B1258" s="8">
        <v>45774</v>
      </c>
      <c r="C1258" t="s">
        <v>2</v>
      </c>
      <c r="D1258" t="s">
        <v>39</v>
      </c>
      <c r="E1258" t="s">
        <v>40</v>
      </c>
      <c r="F1258" t="s">
        <v>45</v>
      </c>
      <c r="G1258" t="s">
        <v>42</v>
      </c>
      <c r="H1258">
        <v>0</v>
      </c>
      <c r="I1258">
        <v>0</v>
      </c>
      <c r="J1258">
        <v>0</v>
      </c>
      <c r="K1258">
        <v>0</v>
      </c>
      <c r="L1258">
        <v>0</v>
      </c>
      <c r="M1258">
        <v>0</v>
      </c>
      <c r="N1258">
        <v>0</v>
      </c>
      <c r="O1258">
        <v>0</v>
      </c>
      <c r="Q1258">
        <v>59.5</v>
      </c>
    </row>
    <row r="1259" spans="1:17">
      <c r="A1259" t="s">
        <v>1305</v>
      </c>
      <c r="B1259" s="8">
        <v>45673</v>
      </c>
      <c r="C1259" t="s">
        <v>2</v>
      </c>
      <c r="D1259" t="s">
        <v>39</v>
      </c>
      <c r="E1259" t="s">
        <v>35</v>
      </c>
      <c r="F1259" t="s">
        <v>45</v>
      </c>
      <c r="G1259" t="s">
        <v>37</v>
      </c>
      <c r="H1259">
        <v>1</v>
      </c>
      <c r="I1259">
        <v>0</v>
      </c>
      <c r="J1259">
        <v>0</v>
      </c>
      <c r="K1259">
        <v>0</v>
      </c>
      <c r="L1259">
        <v>0</v>
      </c>
      <c r="M1259">
        <v>0</v>
      </c>
      <c r="N1259">
        <v>0</v>
      </c>
      <c r="O1259">
        <v>0</v>
      </c>
      <c r="Q1259">
        <v>93.2</v>
      </c>
    </row>
    <row r="1260" spans="1:17">
      <c r="A1260" t="s">
        <v>1306</v>
      </c>
      <c r="B1260" s="8">
        <v>45675</v>
      </c>
      <c r="C1260" t="s">
        <v>2</v>
      </c>
      <c r="D1260" t="s">
        <v>39</v>
      </c>
      <c r="E1260" t="s">
        <v>35</v>
      </c>
      <c r="F1260" t="s">
        <v>45</v>
      </c>
      <c r="G1260" t="s">
        <v>37</v>
      </c>
      <c r="H1260">
        <v>1</v>
      </c>
      <c r="I1260">
        <v>0</v>
      </c>
      <c r="J1260">
        <v>0</v>
      </c>
      <c r="K1260">
        <v>0</v>
      </c>
      <c r="L1260">
        <v>0</v>
      </c>
      <c r="M1260">
        <v>0</v>
      </c>
      <c r="N1260">
        <v>0</v>
      </c>
      <c r="O1260">
        <v>0</v>
      </c>
      <c r="Q1260">
        <v>59</v>
      </c>
    </row>
    <row r="1261" spans="1:17">
      <c r="A1261" t="s">
        <v>1307</v>
      </c>
      <c r="B1261" s="8">
        <v>45737</v>
      </c>
      <c r="C1261" t="s">
        <v>2</v>
      </c>
      <c r="D1261" t="s">
        <v>34</v>
      </c>
      <c r="E1261" t="s">
        <v>40</v>
      </c>
      <c r="F1261" t="s">
        <v>41</v>
      </c>
      <c r="G1261" t="s">
        <v>42</v>
      </c>
      <c r="H1261">
        <v>1</v>
      </c>
      <c r="I1261">
        <v>0</v>
      </c>
      <c r="J1261">
        <v>0</v>
      </c>
      <c r="K1261">
        <v>0</v>
      </c>
      <c r="L1261">
        <v>0</v>
      </c>
      <c r="M1261">
        <v>0</v>
      </c>
      <c r="N1261">
        <v>0</v>
      </c>
      <c r="O1261">
        <v>0</v>
      </c>
      <c r="Q1261">
        <v>37</v>
      </c>
    </row>
    <row r="1262" spans="1:17">
      <c r="A1262" t="s">
        <v>1308</v>
      </c>
      <c r="B1262" s="8">
        <v>45749</v>
      </c>
      <c r="C1262" t="s">
        <v>2</v>
      </c>
      <c r="D1262" t="s">
        <v>34</v>
      </c>
      <c r="E1262" t="s">
        <v>35</v>
      </c>
      <c r="F1262" t="s">
        <v>45</v>
      </c>
      <c r="G1262" t="s">
        <v>42</v>
      </c>
      <c r="H1262">
        <v>1</v>
      </c>
      <c r="I1262">
        <v>0</v>
      </c>
      <c r="J1262">
        <v>0</v>
      </c>
      <c r="K1262">
        <v>0</v>
      </c>
      <c r="L1262">
        <v>0</v>
      </c>
      <c r="M1262">
        <v>0</v>
      </c>
      <c r="N1262">
        <v>0</v>
      </c>
      <c r="O1262">
        <v>0</v>
      </c>
      <c r="Q1262">
        <v>47.5</v>
      </c>
    </row>
    <row r="1263" spans="1:17">
      <c r="A1263" t="s">
        <v>1309</v>
      </c>
      <c r="B1263" s="8">
        <v>45704</v>
      </c>
      <c r="C1263" t="s">
        <v>2</v>
      </c>
      <c r="D1263" t="s">
        <v>39</v>
      </c>
      <c r="E1263" t="s">
        <v>35</v>
      </c>
      <c r="F1263" t="s">
        <v>41</v>
      </c>
      <c r="G1263" t="s">
        <v>42</v>
      </c>
      <c r="H1263">
        <v>1</v>
      </c>
      <c r="I1263">
        <v>1</v>
      </c>
      <c r="J1263">
        <v>1</v>
      </c>
      <c r="K1263">
        <v>0</v>
      </c>
      <c r="L1263">
        <v>0</v>
      </c>
      <c r="M1263">
        <v>0</v>
      </c>
      <c r="N1263">
        <v>0</v>
      </c>
      <c r="O1263">
        <v>0</v>
      </c>
      <c r="Q1263">
        <v>78.7</v>
      </c>
    </row>
    <row r="1264" spans="1:17">
      <c r="A1264" t="s">
        <v>1310</v>
      </c>
      <c r="B1264" s="8">
        <v>45706</v>
      </c>
      <c r="C1264" t="s">
        <v>2</v>
      </c>
      <c r="D1264" t="s">
        <v>34</v>
      </c>
      <c r="E1264" t="s">
        <v>40</v>
      </c>
      <c r="F1264" t="s">
        <v>57</v>
      </c>
      <c r="G1264" t="s">
        <v>42</v>
      </c>
      <c r="H1264">
        <v>1</v>
      </c>
      <c r="I1264">
        <v>0</v>
      </c>
      <c r="J1264">
        <v>0</v>
      </c>
      <c r="K1264">
        <v>0</v>
      </c>
      <c r="L1264">
        <v>0</v>
      </c>
      <c r="M1264">
        <v>0</v>
      </c>
      <c r="N1264">
        <v>0</v>
      </c>
      <c r="O1264">
        <v>0</v>
      </c>
      <c r="Q1264">
        <v>49.6</v>
      </c>
    </row>
    <row r="1265" spans="1:17">
      <c r="A1265" t="s">
        <v>1311</v>
      </c>
      <c r="B1265" s="8">
        <v>45666</v>
      </c>
      <c r="C1265" t="s">
        <v>2</v>
      </c>
      <c r="D1265" t="s">
        <v>44</v>
      </c>
      <c r="E1265" t="s">
        <v>40</v>
      </c>
      <c r="F1265" t="s">
        <v>41</v>
      </c>
      <c r="G1265" t="s">
        <v>42</v>
      </c>
      <c r="H1265">
        <v>1</v>
      </c>
      <c r="I1265">
        <v>0</v>
      </c>
      <c r="J1265">
        <v>0</v>
      </c>
      <c r="K1265">
        <v>0</v>
      </c>
      <c r="L1265">
        <v>0</v>
      </c>
      <c r="M1265">
        <v>0</v>
      </c>
      <c r="N1265">
        <v>0</v>
      </c>
      <c r="O1265">
        <v>0</v>
      </c>
      <c r="Q1265">
        <v>58</v>
      </c>
    </row>
    <row r="1266" spans="1:17">
      <c r="A1266" t="s">
        <v>1312</v>
      </c>
      <c r="B1266" s="8">
        <v>45706</v>
      </c>
      <c r="C1266" t="s">
        <v>2</v>
      </c>
      <c r="D1266" t="s">
        <v>34</v>
      </c>
      <c r="E1266" t="s">
        <v>35</v>
      </c>
      <c r="F1266" t="s">
        <v>45</v>
      </c>
      <c r="G1266" t="s">
        <v>42</v>
      </c>
      <c r="H1266">
        <v>1</v>
      </c>
      <c r="I1266">
        <v>0</v>
      </c>
      <c r="J1266">
        <v>0</v>
      </c>
      <c r="K1266">
        <v>0</v>
      </c>
      <c r="L1266">
        <v>0</v>
      </c>
      <c r="M1266">
        <v>1</v>
      </c>
      <c r="N1266">
        <v>1</v>
      </c>
      <c r="O1266">
        <v>0</v>
      </c>
      <c r="Q1266">
        <v>54.4</v>
      </c>
    </row>
    <row r="1267" spans="1:17">
      <c r="A1267" t="s">
        <v>1313</v>
      </c>
      <c r="B1267" s="8">
        <v>45667</v>
      </c>
      <c r="C1267" t="s">
        <v>2</v>
      </c>
      <c r="D1267" t="s">
        <v>44</v>
      </c>
      <c r="E1267" t="s">
        <v>40</v>
      </c>
      <c r="F1267" t="s">
        <v>55</v>
      </c>
      <c r="G1267" t="s">
        <v>42</v>
      </c>
      <c r="H1267">
        <v>0</v>
      </c>
      <c r="I1267">
        <v>0</v>
      </c>
      <c r="J1267">
        <v>0</v>
      </c>
      <c r="K1267">
        <v>0</v>
      </c>
      <c r="L1267">
        <v>0</v>
      </c>
      <c r="M1267">
        <v>0</v>
      </c>
      <c r="N1267">
        <v>0</v>
      </c>
      <c r="O1267">
        <v>0</v>
      </c>
      <c r="Q1267">
        <v>33.700000000000003</v>
      </c>
    </row>
    <row r="1268" spans="1:17">
      <c r="A1268" t="s">
        <v>1314</v>
      </c>
      <c r="B1268" s="8">
        <v>45724</v>
      </c>
      <c r="C1268" t="s">
        <v>2</v>
      </c>
      <c r="D1268" t="s">
        <v>39</v>
      </c>
      <c r="E1268" t="s">
        <v>40</v>
      </c>
      <c r="F1268" t="s">
        <v>36</v>
      </c>
      <c r="G1268" t="s">
        <v>42</v>
      </c>
      <c r="H1268">
        <v>1</v>
      </c>
      <c r="I1268">
        <v>0</v>
      </c>
      <c r="J1268">
        <v>0</v>
      </c>
      <c r="K1268">
        <v>0</v>
      </c>
      <c r="L1268">
        <v>0</v>
      </c>
      <c r="M1268">
        <v>0</v>
      </c>
      <c r="N1268">
        <v>0</v>
      </c>
      <c r="O1268">
        <v>0</v>
      </c>
      <c r="Q1268">
        <v>72.7</v>
      </c>
    </row>
    <row r="1269" spans="1:17">
      <c r="A1269" t="s">
        <v>1315</v>
      </c>
      <c r="B1269" s="8">
        <v>45763</v>
      </c>
      <c r="C1269" t="s">
        <v>2</v>
      </c>
      <c r="D1269" t="s">
        <v>44</v>
      </c>
      <c r="E1269" t="s">
        <v>35</v>
      </c>
      <c r="F1269" t="s">
        <v>45</v>
      </c>
      <c r="G1269" t="s">
        <v>37</v>
      </c>
      <c r="H1269">
        <v>0</v>
      </c>
      <c r="I1269">
        <v>0</v>
      </c>
      <c r="J1269">
        <v>0</v>
      </c>
      <c r="K1269">
        <v>0</v>
      </c>
      <c r="L1269">
        <v>0</v>
      </c>
      <c r="M1269">
        <v>0</v>
      </c>
      <c r="N1269">
        <v>0</v>
      </c>
      <c r="O1269">
        <v>0</v>
      </c>
      <c r="Q1269">
        <v>64.7</v>
      </c>
    </row>
    <row r="1270" spans="1:17">
      <c r="A1270" t="s">
        <v>1316</v>
      </c>
      <c r="B1270" s="8">
        <v>45707</v>
      </c>
      <c r="C1270" t="s">
        <v>2</v>
      </c>
      <c r="D1270" t="s">
        <v>39</v>
      </c>
      <c r="E1270" t="s">
        <v>35</v>
      </c>
      <c r="F1270" t="s">
        <v>45</v>
      </c>
      <c r="G1270" t="s">
        <v>46</v>
      </c>
      <c r="H1270">
        <v>0</v>
      </c>
      <c r="I1270">
        <v>0</v>
      </c>
      <c r="J1270">
        <v>0</v>
      </c>
      <c r="K1270">
        <v>0</v>
      </c>
      <c r="L1270">
        <v>0</v>
      </c>
      <c r="M1270">
        <v>1</v>
      </c>
      <c r="N1270">
        <v>1</v>
      </c>
      <c r="O1270">
        <v>0</v>
      </c>
      <c r="Q1270">
        <v>48.6</v>
      </c>
    </row>
    <row r="1271" spans="1:17">
      <c r="A1271" t="s">
        <v>1317</v>
      </c>
      <c r="B1271" s="8">
        <v>45732</v>
      </c>
      <c r="C1271" t="s">
        <v>2</v>
      </c>
      <c r="D1271" t="s">
        <v>44</v>
      </c>
      <c r="E1271" t="s">
        <v>35</v>
      </c>
      <c r="F1271" t="s">
        <v>57</v>
      </c>
      <c r="G1271" t="s">
        <v>42</v>
      </c>
      <c r="H1271">
        <v>1</v>
      </c>
      <c r="I1271">
        <v>1</v>
      </c>
      <c r="J1271">
        <v>0</v>
      </c>
      <c r="K1271">
        <v>0</v>
      </c>
      <c r="L1271">
        <v>0</v>
      </c>
      <c r="M1271">
        <v>0</v>
      </c>
      <c r="N1271">
        <v>0</v>
      </c>
      <c r="O1271">
        <v>0</v>
      </c>
      <c r="Q1271">
        <v>66.2</v>
      </c>
    </row>
    <row r="1272" spans="1:17">
      <c r="A1272" t="s">
        <v>1318</v>
      </c>
      <c r="B1272" s="8">
        <v>45691</v>
      </c>
      <c r="C1272" t="s">
        <v>2</v>
      </c>
      <c r="D1272" t="s">
        <v>39</v>
      </c>
      <c r="F1272" t="s">
        <v>55</v>
      </c>
      <c r="G1272" t="s">
        <v>37</v>
      </c>
      <c r="H1272">
        <v>1</v>
      </c>
      <c r="I1272">
        <v>0</v>
      </c>
      <c r="J1272">
        <v>0</v>
      </c>
      <c r="K1272">
        <v>0</v>
      </c>
      <c r="L1272">
        <v>0</v>
      </c>
      <c r="M1272">
        <v>1</v>
      </c>
      <c r="N1272">
        <v>1</v>
      </c>
      <c r="O1272">
        <v>0</v>
      </c>
      <c r="Q1272">
        <v>60.7</v>
      </c>
    </row>
    <row r="1273" spans="1:17">
      <c r="A1273" t="s">
        <v>1319</v>
      </c>
      <c r="B1273" s="8">
        <v>45728</v>
      </c>
      <c r="C1273" t="s">
        <v>2</v>
      </c>
      <c r="D1273" t="s">
        <v>39</v>
      </c>
      <c r="E1273" t="s">
        <v>40</v>
      </c>
      <c r="F1273" t="s">
        <v>45</v>
      </c>
      <c r="G1273" t="s">
        <v>37</v>
      </c>
      <c r="H1273">
        <v>1</v>
      </c>
      <c r="I1273">
        <v>0</v>
      </c>
      <c r="J1273">
        <v>0</v>
      </c>
      <c r="K1273">
        <v>0</v>
      </c>
      <c r="L1273">
        <v>0</v>
      </c>
      <c r="M1273">
        <v>0</v>
      </c>
      <c r="N1273">
        <v>0</v>
      </c>
      <c r="O1273">
        <v>0</v>
      </c>
      <c r="Q1273">
        <v>36.5</v>
      </c>
    </row>
    <row r="1274" spans="1:17">
      <c r="A1274" t="s">
        <v>1320</v>
      </c>
      <c r="B1274" s="8">
        <v>45786</v>
      </c>
      <c r="C1274" t="s">
        <v>2</v>
      </c>
      <c r="D1274" t="s">
        <v>39</v>
      </c>
      <c r="E1274" t="s">
        <v>40</v>
      </c>
      <c r="F1274" t="s">
        <v>57</v>
      </c>
      <c r="G1274" t="s">
        <v>42</v>
      </c>
      <c r="H1274">
        <v>1</v>
      </c>
      <c r="I1274">
        <v>1</v>
      </c>
      <c r="J1274">
        <v>1</v>
      </c>
      <c r="K1274">
        <v>0</v>
      </c>
      <c r="L1274">
        <v>0</v>
      </c>
      <c r="M1274">
        <v>3</v>
      </c>
      <c r="N1274">
        <v>1</v>
      </c>
      <c r="O1274">
        <v>0</v>
      </c>
      <c r="Q1274">
        <v>69.7</v>
      </c>
    </row>
    <row r="1275" spans="1:17">
      <c r="A1275" t="s">
        <v>1321</v>
      </c>
      <c r="B1275" s="8">
        <v>45676</v>
      </c>
      <c r="C1275" t="s">
        <v>2</v>
      </c>
      <c r="D1275" t="s">
        <v>48</v>
      </c>
      <c r="E1275" t="s">
        <v>35</v>
      </c>
      <c r="F1275" t="s">
        <v>57</v>
      </c>
      <c r="G1275" t="s">
        <v>46</v>
      </c>
      <c r="H1275">
        <v>1</v>
      </c>
      <c r="I1275">
        <v>0</v>
      </c>
      <c r="J1275">
        <v>0</v>
      </c>
      <c r="K1275">
        <v>0</v>
      </c>
      <c r="L1275">
        <v>0</v>
      </c>
      <c r="M1275">
        <v>0</v>
      </c>
      <c r="N1275">
        <v>0</v>
      </c>
      <c r="O1275">
        <v>0</v>
      </c>
      <c r="Q1275">
        <v>81.8</v>
      </c>
    </row>
    <row r="1276" spans="1:17">
      <c r="A1276" t="s">
        <v>1322</v>
      </c>
      <c r="B1276" s="8">
        <v>45681</v>
      </c>
      <c r="C1276" t="s">
        <v>2</v>
      </c>
      <c r="D1276" t="s">
        <v>39</v>
      </c>
      <c r="E1276" t="s">
        <v>40</v>
      </c>
      <c r="F1276" t="s">
        <v>55</v>
      </c>
      <c r="G1276" t="s">
        <v>42</v>
      </c>
      <c r="H1276">
        <v>1</v>
      </c>
      <c r="I1276">
        <v>1</v>
      </c>
      <c r="J1276">
        <v>1</v>
      </c>
      <c r="K1276">
        <v>0</v>
      </c>
      <c r="L1276">
        <v>0</v>
      </c>
      <c r="M1276">
        <v>1</v>
      </c>
      <c r="N1276">
        <v>1</v>
      </c>
      <c r="O1276">
        <v>0</v>
      </c>
      <c r="Q1276">
        <v>78.3</v>
      </c>
    </row>
    <row r="1277" spans="1:17">
      <c r="A1277" t="s">
        <v>1323</v>
      </c>
      <c r="B1277" s="8">
        <v>45719</v>
      </c>
      <c r="C1277" t="s">
        <v>2</v>
      </c>
      <c r="D1277" t="s">
        <v>44</v>
      </c>
      <c r="E1277" t="s">
        <v>40</v>
      </c>
      <c r="F1277" t="s">
        <v>55</v>
      </c>
      <c r="G1277" t="s">
        <v>42</v>
      </c>
      <c r="H1277">
        <v>1</v>
      </c>
      <c r="I1277">
        <v>1</v>
      </c>
      <c r="J1277">
        <v>0</v>
      </c>
      <c r="K1277">
        <v>0</v>
      </c>
      <c r="L1277">
        <v>0</v>
      </c>
      <c r="M1277">
        <v>0</v>
      </c>
      <c r="N1277">
        <v>0</v>
      </c>
      <c r="O1277">
        <v>0</v>
      </c>
      <c r="Q1277">
        <v>79.400000000000006</v>
      </c>
    </row>
    <row r="1278" spans="1:17">
      <c r="A1278" t="s">
        <v>1324</v>
      </c>
      <c r="B1278" s="8">
        <v>45804</v>
      </c>
      <c r="C1278" t="s">
        <v>2</v>
      </c>
      <c r="D1278" t="s">
        <v>34</v>
      </c>
      <c r="E1278" t="s">
        <v>35</v>
      </c>
      <c r="F1278" t="s">
        <v>55</v>
      </c>
      <c r="G1278" t="s">
        <v>42</v>
      </c>
      <c r="H1278">
        <v>1</v>
      </c>
      <c r="I1278">
        <v>1</v>
      </c>
      <c r="J1278">
        <v>1</v>
      </c>
      <c r="K1278">
        <v>0</v>
      </c>
      <c r="L1278">
        <v>0</v>
      </c>
      <c r="M1278">
        <v>0</v>
      </c>
      <c r="N1278">
        <v>0</v>
      </c>
      <c r="O1278">
        <v>0</v>
      </c>
      <c r="Q1278">
        <v>54.9</v>
      </c>
    </row>
    <row r="1279" spans="1:17">
      <c r="A1279" t="s">
        <v>1325</v>
      </c>
      <c r="B1279" s="8">
        <v>45770</v>
      </c>
      <c r="C1279" t="s">
        <v>2</v>
      </c>
      <c r="D1279" t="s">
        <v>39</v>
      </c>
      <c r="E1279" t="s">
        <v>35</v>
      </c>
      <c r="F1279" t="s">
        <v>41</v>
      </c>
      <c r="G1279" t="s">
        <v>37</v>
      </c>
      <c r="H1279">
        <v>1</v>
      </c>
      <c r="I1279">
        <v>0</v>
      </c>
      <c r="J1279">
        <v>0</v>
      </c>
      <c r="K1279">
        <v>0</v>
      </c>
      <c r="L1279">
        <v>0</v>
      </c>
      <c r="M1279">
        <v>0</v>
      </c>
      <c r="N1279">
        <v>0</v>
      </c>
      <c r="O1279">
        <v>0</v>
      </c>
      <c r="Q1279">
        <v>54.9</v>
      </c>
    </row>
    <row r="1280" spans="1:17">
      <c r="A1280" t="s">
        <v>1326</v>
      </c>
      <c r="B1280" s="8">
        <v>45698</v>
      </c>
      <c r="C1280" t="s">
        <v>2</v>
      </c>
      <c r="D1280" t="s">
        <v>44</v>
      </c>
      <c r="E1280" t="s">
        <v>35</v>
      </c>
      <c r="F1280" t="s">
        <v>57</v>
      </c>
      <c r="G1280" t="s">
        <v>42</v>
      </c>
      <c r="H1280">
        <v>0</v>
      </c>
      <c r="I1280">
        <v>0</v>
      </c>
      <c r="J1280">
        <v>0</v>
      </c>
      <c r="K1280">
        <v>0</v>
      </c>
      <c r="L1280">
        <v>0</v>
      </c>
      <c r="M1280">
        <v>0</v>
      </c>
      <c r="N1280">
        <v>0</v>
      </c>
      <c r="O1280">
        <v>0</v>
      </c>
      <c r="Q1280">
        <v>28.7</v>
      </c>
    </row>
    <row r="1281" spans="1:17">
      <c r="A1281" t="s">
        <v>1327</v>
      </c>
      <c r="B1281" s="8">
        <v>45699</v>
      </c>
      <c r="C1281" t="s">
        <v>2</v>
      </c>
      <c r="D1281" t="s">
        <v>34</v>
      </c>
      <c r="E1281" t="s">
        <v>40</v>
      </c>
      <c r="F1281" t="s">
        <v>41</v>
      </c>
      <c r="G1281" t="s">
        <v>42</v>
      </c>
      <c r="H1281">
        <v>0</v>
      </c>
      <c r="I1281">
        <v>0</v>
      </c>
      <c r="J1281">
        <v>0</v>
      </c>
      <c r="K1281">
        <v>0</v>
      </c>
      <c r="L1281">
        <v>0</v>
      </c>
      <c r="M1281">
        <v>0</v>
      </c>
      <c r="N1281">
        <v>0</v>
      </c>
      <c r="O1281">
        <v>0</v>
      </c>
      <c r="Q1281">
        <v>68.8</v>
      </c>
    </row>
    <row r="1282" spans="1:17">
      <c r="A1282" t="s">
        <v>1328</v>
      </c>
      <c r="B1282" s="8">
        <v>45678</v>
      </c>
      <c r="C1282" t="s">
        <v>2</v>
      </c>
      <c r="D1282" t="s">
        <v>44</v>
      </c>
      <c r="E1282" t="s">
        <v>35</v>
      </c>
      <c r="F1282" t="s">
        <v>45</v>
      </c>
      <c r="G1282" t="s">
        <v>42</v>
      </c>
      <c r="H1282">
        <v>1</v>
      </c>
      <c r="I1282">
        <v>1</v>
      </c>
      <c r="J1282">
        <v>1</v>
      </c>
      <c r="K1282">
        <v>0</v>
      </c>
      <c r="L1282">
        <v>0</v>
      </c>
      <c r="M1282">
        <v>0</v>
      </c>
      <c r="N1282">
        <v>0</v>
      </c>
      <c r="O1282">
        <v>0</v>
      </c>
      <c r="Q1282">
        <v>43.5</v>
      </c>
    </row>
    <row r="1283" spans="1:17">
      <c r="A1283" t="s">
        <v>1329</v>
      </c>
      <c r="B1283" s="8">
        <v>45690</v>
      </c>
      <c r="C1283" t="s">
        <v>2</v>
      </c>
      <c r="D1283" t="s">
        <v>39</v>
      </c>
      <c r="E1283" t="s">
        <v>35</v>
      </c>
      <c r="F1283" t="s">
        <v>57</v>
      </c>
      <c r="G1283" t="s">
        <v>42</v>
      </c>
      <c r="H1283">
        <v>1</v>
      </c>
      <c r="I1283">
        <v>1</v>
      </c>
      <c r="J1283">
        <v>0</v>
      </c>
      <c r="K1283">
        <v>0</v>
      </c>
      <c r="L1283">
        <v>0</v>
      </c>
      <c r="M1283">
        <v>0</v>
      </c>
      <c r="N1283">
        <v>0</v>
      </c>
      <c r="O1283">
        <v>0</v>
      </c>
      <c r="Q1283">
        <v>62.6</v>
      </c>
    </row>
    <row r="1284" spans="1:17">
      <c r="A1284" t="s">
        <v>1330</v>
      </c>
      <c r="B1284" s="8">
        <v>45690</v>
      </c>
      <c r="C1284" t="s">
        <v>2</v>
      </c>
      <c r="D1284" t="s">
        <v>39</v>
      </c>
      <c r="E1284" t="s">
        <v>40</v>
      </c>
      <c r="F1284" t="s">
        <v>41</v>
      </c>
      <c r="G1284" t="s">
        <v>42</v>
      </c>
      <c r="H1284">
        <v>0</v>
      </c>
      <c r="I1284">
        <v>0</v>
      </c>
      <c r="J1284">
        <v>0</v>
      </c>
      <c r="K1284">
        <v>0</v>
      </c>
      <c r="L1284">
        <v>0</v>
      </c>
      <c r="M1284">
        <v>1</v>
      </c>
      <c r="N1284">
        <v>1</v>
      </c>
      <c r="O1284">
        <v>0</v>
      </c>
      <c r="Q1284">
        <v>54.1</v>
      </c>
    </row>
    <row r="1285" spans="1:17">
      <c r="A1285" t="s">
        <v>1331</v>
      </c>
      <c r="B1285" s="8">
        <v>45714</v>
      </c>
      <c r="C1285" t="s">
        <v>2</v>
      </c>
      <c r="D1285" t="s">
        <v>39</v>
      </c>
      <c r="E1285" t="s">
        <v>50</v>
      </c>
      <c r="F1285" t="s">
        <v>57</v>
      </c>
      <c r="G1285" t="s">
        <v>42</v>
      </c>
      <c r="H1285">
        <v>1</v>
      </c>
      <c r="I1285">
        <v>1</v>
      </c>
      <c r="J1285">
        <v>1</v>
      </c>
      <c r="K1285">
        <v>0</v>
      </c>
      <c r="L1285">
        <v>0</v>
      </c>
      <c r="M1285">
        <v>0</v>
      </c>
      <c r="N1285">
        <v>0</v>
      </c>
      <c r="O1285">
        <v>0</v>
      </c>
      <c r="Q1285">
        <v>80.099999999999994</v>
      </c>
    </row>
    <row r="1286" spans="1:17">
      <c r="A1286" t="s">
        <v>1332</v>
      </c>
      <c r="B1286" s="8">
        <v>45769</v>
      </c>
      <c r="C1286" t="s">
        <v>2</v>
      </c>
      <c r="D1286" t="s">
        <v>34</v>
      </c>
      <c r="E1286" t="s">
        <v>40</v>
      </c>
      <c r="F1286" t="s">
        <v>57</v>
      </c>
      <c r="G1286" t="s">
        <v>46</v>
      </c>
      <c r="H1286">
        <v>1</v>
      </c>
      <c r="I1286">
        <v>0</v>
      </c>
      <c r="J1286">
        <v>0</v>
      </c>
      <c r="K1286">
        <v>0</v>
      </c>
      <c r="L1286">
        <v>0</v>
      </c>
      <c r="M1286">
        <v>0</v>
      </c>
      <c r="N1286">
        <v>0</v>
      </c>
      <c r="O1286">
        <v>0</v>
      </c>
      <c r="Q1286">
        <v>69.5</v>
      </c>
    </row>
    <row r="1287" spans="1:17">
      <c r="A1287" t="s">
        <v>1333</v>
      </c>
      <c r="B1287" s="8">
        <v>45727</v>
      </c>
      <c r="C1287" t="s">
        <v>2</v>
      </c>
      <c r="D1287" t="s">
        <v>34</v>
      </c>
      <c r="E1287" t="s">
        <v>35</v>
      </c>
      <c r="F1287" t="s">
        <v>41</v>
      </c>
      <c r="G1287" t="s">
        <v>37</v>
      </c>
      <c r="H1287">
        <v>0</v>
      </c>
      <c r="I1287">
        <v>0</v>
      </c>
      <c r="J1287">
        <v>0</v>
      </c>
      <c r="K1287">
        <v>0</v>
      </c>
      <c r="L1287">
        <v>0</v>
      </c>
      <c r="M1287">
        <v>2</v>
      </c>
      <c r="N1287">
        <v>1</v>
      </c>
      <c r="O1287">
        <v>0</v>
      </c>
      <c r="Q1287">
        <v>46.6</v>
      </c>
    </row>
    <row r="1288" spans="1:17">
      <c r="A1288" t="s">
        <v>1334</v>
      </c>
      <c r="B1288" s="8">
        <v>45785</v>
      </c>
      <c r="C1288" t="s">
        <v>2</v>
      </c>
      <c r="D1288" t="s">
        <v>48</v>
      </c>
      <c r="E1288" t="s">
        <v>40</v>
      </c>
      <c r="F1288" t="s">
        <v>41</v>
      </c>
      <c r="G1288" t="s">
        <v>46</v>
      </c>
      <c r="H1288">
        <v>1</v>
      </c>
      <c r="I1288">
        <v>0</v>
      </c>
      <c r="J1288">
        <v>0</v>
      </c>
      <c r="K1288">
        <v>0</v>
      </c>
      <c r="L1288">
        <v>0</v>
      </c>
      <c r="M1288">
        <v>1</v>
      </c>
      <c r="N1288">
        <v>1</v>
      </c>
      <c r="O1288">
        <v>0</v>
      </c>
      <c r="Q1288">
        <v>54.9</v>
      </c>
    </row>
    <row r="1289" spans="1:17">
      <c r="A1289" t="s">
        <v>1335</v>
      </c>
      <c r="B1289" s="8">
        <v>45726</v>
      </c>
      <c r="C1289" t="s">
        <v>2</v>
      </c>
      <c r="D1289" t="s">
        <v>44</v>
      </c>
      <c r="E1289" t="s">
        <v>35</v>
      </c>
      <c r="F1289" t="s">
        <v>41</v>
      </c>
      <c r="G1289" t="s">
        <v>42</v>
      </c>
      <c r="H1289">
        <v>0</v>
      </c>
      <c r="I1289">
        <v>0</v>
      </c>
      <c r="J1289">
        <v>0</v>
      </c>
      <c r="K1289">
        <v>0</v>
      </c>
      <c r="L1289">
        <v>0</v>
      </c>
      <c r="M1289">
        <v>0</v>
      </c>
      <c r="N1289">
        <v>0</v>
      </c>
      <c r="O1289">
        <v>0</v>
      </c>
      <c r="Q1289">
        <v>100</v>
      </c>
    </row>
    <row r="1290" spans="1:17">
      <c r="A1290" t="s">
        <v>1336</v>
      </c>
      <c r="B1290" s="8">
        <v>45763</v>
      </c>
      <c r="C1290" t="s">
        <v>2</v>
      </c>
      <c r="D1290" t="s">
        <v>44</v>
      </c>
      <c r="E1290" t="s">
        <v>35</v>
      </c>
      <c r="F1290" t="s">
        <v>45</v>
      </c>
      <c r="G1290" t="s">
        <v>42</v>
      </c>
      <c r="H1290">
        <v>1</v>
      </c>
      <c r="I1290">
        <v>1</v>
      </c>
      <c r="J1290">
        <v>1</v>
      </c>
      <c r="K1290">
        <v>0</v>
      </c>
      <c r="L1290">
        <v>0</v>
      </c>
      <c r="M1290">
        <v>1</v>
      </c>
      <c r="N1290">
        <v>1</v>
      </c>
      <c r="O1290">
        <v>0</v>
      </c>
      <c r="Q1290">
        <v>80.5</v>
      </c>
    </row>
    <row r="1291" spans="1:17">
      <c r="A1291" t="s">
        <v>1337</v>
      </c>
      <c r="B1291" s="8">
        <v>45717</v>
      </c>
      <c r="C1291" t="s">
        <v>2</v>
      </c>
      <c r="D1291" t="s">
        <v>39</v>
      </c>
      <c r="E1291" t="s">
        <v>50</v>
      </c>
      <c r="F1291" t="s">
        <v>41</v>
      </c>
      <c r="G1291" t="s">
        <v>37</v>
      </c>
      <c r="H1291">
        <v>1</v>
      </c>
      <c r="I1291">
        <v>0</v>
      </c>
      <c r="J1291">
        <v>0</v>
      </c>
      <c r="K1291">
        <v>0</v>
      </c>
      <c r="L1291">
        <v>0</v>
      </c>
      <c r="M1291">
        <v>0</v>
      </c>
      <c r="N1291">
        <v>0</v>
      </c>
      <c r="O1291">
        <v>0</v>
      </c>
      <c r="Q1291">
        <v>51.2</v>
      </c>
    </row>
    <row r="1292" spans="1:17">
      <c r="A1292" t="s">
        <v>1338</v>
      </c>
      <c r="B1292" s="8">
        <v>45675</v>
      </c>
      <c r="C1292" t="s">
        <v>2</v>
      </c>
      <c r="D1292" t="s">
        <v>48</v>
      </c>
      <c r="E1292" t="s">
        <v>35</v>
      </c>
      <c r="F1292" t="s">
        <v>41</v>
      </c>
      <c r="G1292" t="s">
        <v>46</v>
      </c>
      <c r="H1292">
        <v>1</v>
      </c>
      <c r="I1292">
        <v>0</v>
      </c>
      <c r="J1292">
        <v>0</v>
      </c>
      <c r="K1292">
        <v>0</v>
      </c>
      <c r="L1292">
        <v>0</v>
      </c>
      <c r="M1292">
        <v>0</v>
      </c>
      <c r="N1292">
        <v>0</v>
      </c>
      <c r="O1292">
        <v>0</v>
      </c>
      <c r="Q1292">
        <v>42.5</v>
      </c>
    </row>
    <row r="1293" spans="1:17">
      <c r="A1293" t="s">
        <v>1339</v>
      </c>
      <c r="B1293" s="8">
        <v>45746</v>
      </c>
      <c r="C1293" t="s">
        <v>2</v>
      </c>
      <c r="D1293" t="s">
        <v>34</v>
      </c>
      <c r="E1293" t="s">
        <v>40</v>
      </c>
      <c r="F1293" t="s">
        <v>45</v>
      </c>
      <c r="G1293" t="s">
        <v>42</v>
      </c>
      <c r="H1293">
        <v>0</v>
      </c>
      <c r="I1293">
        <v>0</v>
      </c>
      <c r="J1293">
        <v>0</v>
      </c>
      <c r="K1293">
        <v>0</v>
      </c>
      <c r="L1293">
        <v>0</v>
      </c>
      <c r="M1293">
        <v>0</v>
      </c>
      <c r="N1293">
        <v>0</v>
      </c>
      <c r="O1293">
        <v>0</v>
      </c>
      <c r="Q1293">
        <v>72.5</v>
      </c>
    </row>
    <row r="1294" spans="1:17">
      <c r="A1294" t="s">
        <v>1340</v>
      </c>
      <c r="B1294" s="8">
        <v>45803</v>
      </c>
      <c r="C1294" t="s">
        <v>2</v>
      </c>
      <c r="D1294" t="s">
        <v>39</v>
      </c>
      <c r="E1294" t="s">
        <v>40</v>
      </c>
      <c r="F1294" t="s">
        <v>57</v>
      </c>
      <c r="G1294" t="s">
        <v>46</v>
      </c>
      <c r="H1294">
        <v>0</v>
      </c>
      <c r="I1294">
        <v>0</v>
      </c>
      <c r="J1294">
        <v>0</v>
      </c>
      <c r="K1294">
        <v>0</v>
      </c>
      <c r="L1294">
        <v>0</v>
      </c>
      <c r="M1294">
        <v>0</v>
      </c>
      <c r="N1294">
        <v>0</v>
      </c>
      <c r="O1294">
        <v>0</v>
      </c>
      <c r="Q1294">
        <v>74.400000000000006</v>
      </c>
    </row>
    <row r="1295" spans="1:17">
      <c r="A1295" t="s">
        <v>1341</v>
      </c>
      <c r="B1295" s="8">
        <v>45735</v>
      </c>
      <c r="C1295" t="s">
        <v>2</v>
      </c>
      <c r="D1295" t="s">
        <v>44</v>
      </c>
      <c r="E1295" t="s">
        <v>35</v>
      </c>
      <c r="F1295" t="s">
        <v>57</v>
      </c>
      <c r="G1295" t="s">
        <v>42</v>
      </c>
      <c r="H1295">
        <v>0</v>
      </c>
      <c r="I1295">
        <v>0</v>
      </c>
      <c r="J1295">
        <v>0</v>
      </c>
      <c r="K1295">
        <v>0</v>
      </c>
      <c r="L1295">
        <v>0</v>
      </c>
      <c r="M1295">
        <v>0</v>
      </c>
      <c r="N1295">
        <v>0</v>
      </c>
      <c r="O1295">
        <v>0</v>
      </c>
      <c r="Q1295">
        <v>78.400000000000006</v>
      </c>
    </row>
    <row r="1296" spans="1:17">
      <c r="A1296" t="s">
        <v>1342</v>
      </c>
      <c r="B1296" s="8">
        <v>45744</v>
      </c>
      <c r="C1296" t="s">
        <v>2</v>
      </c>
      <c r="D1296" t="s">
        <v>34</v>
      </c>
      <c r="E1296" t="s">
        <v>35</v>
      </c>
      <c r="F1296" t="s">
        <v>55</v>
      </c>
      <c r="G1296" t="s">
        <v>42</v>
      </c>
      <c r="H1296">
        <v>1</v>
      </c>
      <c r="I1296">
        <v>0</v>
      </c>
      <c r="J1296">
        <v>0</v>
      </c>
      <c r="K1296">
        <v>0</v>
      </c>
      <c r="L1296">
        <v>0</v>
      </c>
      <c r="M1296">
        <v>0</v>
      </c>
      <c r="N1296">
        <v>0</v>
      </c>
      <c r="O1296">
        <v>0</v>
      </c>
      <c r="Q1296">
        <v>71.5</v>
      </c>
    </row>
    <row r="1297" spans="1:17">
      <c r="A1297" t="s">
        <v>1343</v>
      </c>
      <c r="B1297" s="8">
        <v>45805</v>
      </c>
      <c r="C1297" t="s">
        <v>2</v>
      </c>
      <c r="D1297" t="s">
        <v>48</v>
      </c>
      <c r="E1297" t="s">
        <v>35</v>
      </c>
      <c r="F1297" t="s">
        <v>57</v>
      </c>
      <c r="G1297" t="s">
        <v>42</v>
      </c>
      <c r="H1297">
        <v>1</v>
      </c>
      <c r="I1297">
        <v>0</v>
      </c>
      <c r="J1297">
        <v>0</v>
      </c>
      <c r="K1297">
        <v>0</v>
      </c>
      <c r="L1297">
        <v>0</v>
      </c>
      <c r="M1297">
        <v>0</v>
      </c>
      <c r="N1297">
        <v>0</v>
      </c>
      <c r="O1297">
        <v>0</v>
      </c>
      <c r="Q1297">
        <v>66.7</v>
      </c>
    </row>
    <row r="1298" spans="1:17">
      <c r="A1298" t="s">
        <v>1344</v>
      </c>
      <c r="B1298" s="8">
        <v>45808</v>
      </c>
      <c r="C1298" t="s">
        <v>2</v>
      </c>
      <c r="D1298" t="s">
        <v>48</v>
      </c>
      <c r="E1298" t="s">
        <v>35</v>
      </c>
      <c r="F1298" t="s">
        <v>55</v>
      </c>
      <c r="G1298" t="s">
        <v>46</v>
      </c>
      <c r="H1298">
        <v>1</v>
      </c>
      <c r="I1298">
        <v>1</v>
      </c>
      <c r="J1298">
        <v>1</v>
      </c>
      <c r="K1298">
        <v>1</v>
      </c>
      <c r="L1298">
        <v>1496.09</v>
      </c>
      <c r="M1298">
        <v>0</v>
      </c>
      <c r="N1298">
        <v>0</v>
      </c>
      <c r="O1298">
        <v>0</v>
      </c>
      <c r="P1298">
        <v>7</v>
      </c>
      <c r="Q1298">
        <v>60.4</v>
      </c>
    </row>
    <row r="1299" spans="1:17">
      <c r="A1299" t="s">
        <v>1345</v>
      </c>
      <c r="B1299" s="8">
        <v>45787</v>
      </c>
      <c r="C1299" t="s">
        <v>2</v>
      </c>
      <c r="D1299" t="s">
        <v>34</v>
      </c>
      <c r="E1299" t="s">
        <v>40</v>
      </c>
      <c r="F1299" t="s">
        <v>55</v>
      </c>
      <c r="G1299" t="s">
        <v>42</v>
      </c>
      <c r="H1299">
        <v>0</v>
      </c>
      <c r="I1299">
        <v>0</v>
      </c>
      <c r="J1299">
        <v>0</v>
      </c>
      <c r="K1299">
        <v>0</v>
      </c>
      <c r="L1299">
        <v>0</v>
      </c>
      <c r="M1299">
        <v>1</v>
      </c>
      <c r="N1299">
        <v>1</v>
      </c>
      <c r="O1299">
        <v>0</v>
      </c>
      <c r="Q1299">
        <v>72.900000000000006</v>
      </c>
    </row>
    <row r="1300" spans="1:17">
      <c r="A1300" t="s">
        <v>1346</v>
      </c>
      <c r="B1300" s="8">
        <v>45794</v>
      </c>
      <c r="C1300" t="s">
        <v>2</v>
      </c>
      <c r="D1300" t="s">
        <v>39</v>
      </c>
      <c r="E1300" t="s">
        <v>40</v>
      </c>
      <c r="F1300" t="s">
        <v>41</v>
      </c>
      <c r="G1300" t="s">
        <v>42</v>
      </c>
      <c r="H1300">
        <v>0</v>
      </c>
      <c r="I1300">
        <v>0</v>
      </c>
      <c r="J1300">
        <v>0</v>
      </c>
      <c r="K1300">
        <v>0</v>
      </c>
      <c r="L1300">
        <v>0</v>
      </c>
      <c r="M1300">
        <v>3</v>
      </c>
      <c r="N1300">
        <v>1</v>
      </c>
      <c r="O1300">
        <v>0</v>
      </c>
    </row>
    <row r="1301" spans="1:17">
      <c r="A1301" t="s">
        <v>1347</v>
      </c>
      <c r="B1301" s="8">
        <v>45675</v>
      </c>
      <c r="C1301" t="s">
        <v>2</v>
      </c>
      <c r="D1301" t="s">
        <v>48</v>
      </c>
      <c r="E1301" t="s">
        <v>40</v>
      </c>
      <c r="F1301" t="s">
        <v>41</v>
      </c>
      <c r="G1301" t="s">
        <v>46</v>
      </c>
      <c r="H1301">
        <v>1</v>
      </c>
      <c r="I1301">
        <v>0</v>
      </c>
      <c r="J1301">
        <v>0</v>
      </c>
      <c r="K1301">
        <v>0</v>
      </c>
      <c r="L1301">
        <v>0</v>
      </c>
      <c r="M1301">
        <v>0</v>
      </c>
      <c r="N1301">
        <v>0</v>
      </c>
      <c r="O1301">
        <v>0</v>
      </c>
      <c r="Q1301">
        <v>55.2</v>
      </c>
    </row>
    <row r="1302" spans="1:17">
      <c r="A1302" t="s">
        <v>1348</v>
      </c>
      <c r="B1302" s="8">
        <v>45781</v>
      </c>
      <c r="C1302" t="s">
        <v>2</v>
      </c>
      <c r="D1302" t="s">
        <v>39</v>
      </c>
      <c r="E1302" t="s">
        <v>40</v>
      </c>
      <c r="F1302" t="s">
        <v>57</v>
      </c>
      <c r="G1302" t="s">
        <v>42</v>
      </c>
      <c r="H1302">
        <v>1</v>
      </c>
      <c r="I1302">
        <v>0</v>
      </c>
      <c r="J1302">
        <v>0</v>
      </c>
      <c r="K1302">
        <v>0</v>
      </c>
      <c r="L1302">
        <v>0</v>
      </c>
      <c r="M1302">
        <v>0</v>
      </c>
      <c r="N1302">
        <v>0</v>
      </c>
      <c r="O1302">
        <v>0</v>
      </c>
      <c r="Q1302">
        <v>67.8</v>
      </c>
    </row>
    <row r="1303" spans="1:17">
      <c r="A1303" t="s">
        <v>1349</v>
      </c>
      <c r="B1303" s="8">
        <v>45741</v>
      </c>
      <c r="C1303" t="s">
        <v>2</v>
      </c>
      <c r="D1303" t="s">
        <v>34</v>
      </c>
      <c r="E1303" t="s">
        <v>40</v>
      </c>
      <c r="F1303" t="s">
        <v>41</v>
      </c>
      <c r="G1303" t="s">
        <v>42</v>
      </c>
      <c r="H1303">
        <v>1</v>
      </c>
      <c r="I1303">
        <v>0</v>
      </c>
      <c r="J1303">
        <v>0</v>
      </c>
      <c r="K1303">
        <v>0</v>
      </c>
      <c r="L1303">
        <v>0</v>
      </c>
      <c r="M1303">
        <v>2</v>
      </c>
      <c r="N1303">
        <v>1</v>
      </c>
      <c r="O1303">
        <v>0</v>
      </c>
      <c r="Q1303">
        <v>70</v>
      </c>
    </row>
    <row r="1304" spans="1:17">
      <c r="A1304" t="s">
        <v>1350</v>
      </c>
      <c r="B1304" s="8">
        <v>45715</v>
      </c>
      <c r="C1304" t="s">
        <v>2</v>
      </c>
      <c r="D1304" t="s">
        <v>34</v>
      </c>
      <c r="E1304" t="s">
        <v>40</v>
      </c>
      <c r="F1304" t="s">
        <v>57</v>
      </c>
      <c r="G1304" t="s">
        <v>37</v>
      </c>
      <c r="H1304">
        <v>1</v>
      </c>
      <c r="I1304">
        <v>1</v>
      </c>
      <c r="J1304">
        <v>1</v>
      </c>
      <c r="K1304">
        <v>0</v>
      </c>
      <c r="L1304">
        <v>0</v>
      </c>
      <c r="M1304">
        <v>0</v>
      </c>
      <c r="N1304">
        <v>0</v>
      </c>
      <c r="O1304">
        <v>0</v>
      </c>
      <c r="Q1304">
        <v>51.1</v>
      </c>
    </row>
    <row r="1305" spans="1:17">
      <c r="A1305" t="s">
        <v>1351</v>
      </c>
      <c r="B1305" s="8">
        <v>45671</v>
      </c>
      <c r="C1305" t="s">
        <v>2</v>
      </c>
      <c r="D1305" t="s">
        <v>39</v>
      </c>
      <c r="E1305" t="s">
        <v>40</v>
      </c>
      <c r="F1305" t="s">
        <v>45</v>
      </c>
      <c r="G1305" t="s">
        <v>37</v>
      </c>
      <c r="H1305">
        <v>1</v>
      </c>
      <c r="I1305">
        <v>1</v>
      </c>
      <c r="J1305">
        <v>1</v>
      </c>
      <c r="K1305">
        <v>0</v>
      </c>
      <c r="L1305">
        <v>0</v>
      </c>
      <c r="M1305">
        <v>0</v>
      </c>
      <c r="N1305">
        <v>0</v>
      </c>
      <c r="O1305">
        <v>0</v>
      </c>
      <c r="Q1305">
        <v>57</v>
      </c>
    </row>
    <row r="1306" spans="1:17">
      <c r="A1306" t="s">
        <v>1352</v>
      </c>
      <c r="B1306" s="8">
        <v>45758</v>
      </c>
      <c r="C1306" t="s">
        <v>2</v>
      </c>
      <c r="D1306" t="s">
        <v>44</v>
      </c>
      <c r="E1306" t="s">
        <v>40</v>
      </c>
      <c r="F1306" t="s">
        <v>57</v>
      </c>
      <c r="G1306" t="s">
        <v>42</v>
      </c>
      <c r="H1306">
        <v>0</v>
      </c>
      <c r="I1306">
        <v>0</v>
      </c>
      <c r="J1306">
        <v>0</v>
      </c>
      <c r="K1306">
        <v>0</v>
      </c>
      <c r="L1306">
        <v>0</v>
      </c>
      <c r="M1306">
        <v>1</v>
      </c>
      <c r="N1306">
        <v>1</v>
      </c>
      <c r="O1306">
        <v>0</v>
      </c>
      <c r="Q1306">
        <v>47.1</v>
      </c>
    </row>
    <row r="1307" spans="1:17">
      <c r="A1307" t="s">
        <v>1353</v>
      </c>
      <c r="B1307" s="8">
        <v>45742</v>
      </c>
      <c r="C1307" t="s">
        <v>2</v>
      </c>
      <c r="D1307" t="s">
        <v>44</v>
      </c>
      <c r="E1307" t="s">
        <v>35</v>
      </c>
      <c r="F1307" t="s">
        <v>57</v>
      </c>
      <c r="G1307" t="s">
        <v>37</v>
      </c>
      <c r="H1307">
        <v>0</v>
      </c>
      <c r="I1307">
        <v>0</v>
      </c>
      <c r="J1307">
        <v>0</v>
      </c>
      <c r="K1307">
        <v>0</v>
      </c>
      <c r="L1307">
        <v>0</v>
      </c>
      <c r="M1307">
        <v>0</v>
      </c>
      <c r="N1307">
        <v>0</v>
      </c>
      <c r="O1307">
        <v>0</v>
      </c>
      <c r="Q1307">
        <v>30.7</v>
      </c>
    </row>
    <row r="1308" spans="1:17">
      <c r="A1308" t="s">
        <v>1354</v>
      </c>
      <c r="B1308" s="8">
        <v>45700</v>
      </c>
      <c r="C1308" t="s">
        <v>2</v>
      </c>
      <c r="D1308" t="s">
        <v>39</v>
      </c>
      <c r="E1308" t="s">
        <v>35</v>
      </c>
      <c r="F1308" t="s">
        <v>57</v>
      </c>
      <c r="G1308" t="s">
        <v>42</v>
      </c>
      <c r="H1308">
        <v>1</v>
      </c>
      <c r="I1308">
        <v>0</v>
      </c>
      <c r="J1308">
        <v>0</v>
      </c>
      <c r="K1308">
        <v>0</v>
      </c>
      <c r="L1308">
        <v>0</v>
      </c>
      <c r="M1308">
        <v>0</v>
      </c>
      <c r="N1308">
        <v>0</v>
      </c>
      <c r="O1308">
        <v>0</v>
      </c>
      <c r="Q1308">
        <v>57.3</v>
      </c>
    </row>
    <row r="1309" spans="1:17">
      <c r="A1309" t="s">
        <v>1355</v>
      </c>
      <c r="B1309" s="8">
        <v>45706</v>
      </c>
      <c r="C1309" t="s">
        <v>2</v>
      </c>
      <c r="D1309" t="s">
        <v>39</v>
      </c>
      <c r="E1309" t="s">
        <v>50</v>
      </c>
      <c r="F1309" t="s">
        <v>45</v>
      </c>
      <c r="G1309" t="s">
        <v>37</v>
      </c>
      <c r="H1309">
        <v>1</v>
      </c>
      <c r="I1309">
        <v>0</v>
      </c>
      <c r="J1309">
        <v>0</v>
      </c>
      <c r="K1309">
        <v>0</v>
      </c>
      <c r="L1309">
        <v>0</v>
      </c>
      <c r="M1309">
        <v>0</v>
      </c>
      <c r="N1309">
        <v>0</v>
      </c>
      <c r="O1309">
        <v>0</v>
      </c>
      <c r="Q1309">
        <v>70</v>
      </c>
    </row>
    <row r="1310" spans="1:17">
      <c r="A1310" t="s">
        <v>1356</v>
      </c>
      <c r="B1310" s="8">
        <v>45802</v>
      </c>
      <c r="C1310" t="s">
        <v>2</v>
      </c>
      <c r="D1310" t="s">
        <v>44</v>
      </c>
      <c r="E1310" t="s">
        <v>35</v>
      </c>
      <c r="F1310" t="s">
        <v>57</v>
      </c>
      <c r="G1310" t="s">
        <v>42</v>
      </c>
      <c r="H1310">
        <v>1</v>
      </c>
      <c r="I1310">
        <v>1</v>
      </c>
      <c r="J1310">
        <v>1</v>
      </c>
      <c r="K1310">
        <v>0</v>
      </c>
      <c r="L1310">
        <v>0</v>
      </c>
      <c r="M1310">
        <v>0</v>
      </c>
      <c r="N1310">
        <v>0</v>
      </c>
      <c r="O1310">
        <v>0</v>
      </c>
      <c r="Q1310">
        <v>59.7</v>
      </c>
    </row>
    <row r="1311" spans="1:17">
      <c r="A1311" t="s">
        <v>1357</v>
      </c>
      <c r="B1311" s="8">
        <v>45800</v>
      </c>
      <c r="C1311" t="s">
        <v>2</v>
      </c>
      <c r="D1311" t="s">
        <v>44</v>
      </c>
      <c r="E1311" t="s">
        <v>35</v>
      </c>
      <c r="F1311" t="s">
        <v>45</v>
      </c>
      <c r="G1311" t="s">
        <v>37</v>
      </c>
      <c r="H1311">
        <v>1</v>
      </c>
      <c r="I1311">
        <v>0</v>
      </c>
      <c r="J1311">
        <v>0</v>
      </c>
      <c r="K1311">
        <v>0</v>
      </c>
      <c r="L1311">
        <v>0</v>
      </c>
      <c r="M1311">
        <v>0</v>
      </c>
      <c r="N1311">
        <v>0</v>
      </c>
      <c r="O1311">
        <v>0</v>
      </c>
      <c r="Q1311">
        <v>68.8</v>
      </c>
    </row>
    <row r="1312" spans="1:17">
      <c r="A1312" t="s">
        <v>1358</v>
      </c>
      <c r="B1312" s="8">
        <v>45673</v>
      </c>
      <c r="C1312" t="s">
        <v>2</v>
      </c>
      <c r="D1312" t="s">
        <v>34</v>
      </c>
      <c r="E1312" t="s">
        <v>35</v>
      </c>
      <c r="F1312" t="s">
        <v>41</v>
      </c>
      <c r="G1312" t="s">
        <v>42</v>
      </c>
      <c r="H1312">
        <v>1</v>
      </c>
      <c r="I1312">
        <v>1</v>
      </c>
      <c r="J1312">
        <v>1</v>
      </c>
      <c r="K1312">
        <v>1</v>
      </c>
      <c r="L1312">
        <v>428.37</v>
      </c>
      <c r="M1312">
        <v>0</v>
      </c>
      <c r="N1312">
        <v>0</v>
      </c>
      <c r="O1312">
        <v>0</v>
      </c>
      <c r="P1312">
        <v>9</v>
      </c>
      <c r="Q1312">
        <v>88.3</v>
      </c>
    </row>
    <row r="1313" spans="1:17">
      <c r="A1313" t="s">
        <v>1359</v>
      </c>
      <c r="B1313" s="8">
        <v>45676</v>
      </c>
      <c r="C1313" t="s">
        <v>2</v>
      </c>
      <c r="D1313" t="s">
        <v>39</v>
      </c>
      <c r="E1313" t="s">
        <v>35</v>
      </c>
      <c r="F1313" t="s">
        <v>36</v>
      </c>
      <c r="G1313" t="s">
        <v>37</v>
      </c>
      <c r="H1313">
        <v>0</v>
      </c>
      <c r="I1313">
        <v>0</v>
      </c>
      <c r="J1313">
        <v>0</v>
      </c>
      <c r="K1313">
        <v>0</v>
      </c>
      <c r="L1313">
        <v>0</v>
      </c>
      <c r="M1313">
        <v>0</v>
      </c>
      <c r="N1313">
        <v>0</v>
      </c>
      <c r="O1313">
        <v>0</v>
      </c>
      <c r="Q1313">
        <v>83.4</v>
      </c>
    </row>
    <row r="1314" spans="1:17">
      <c r="A1314" t="s">
        <v>1360</v>
      </c>
      <c r="B1314" s="8">
        <v>45795</v>
      </c>
      <c r="C1314" t="s">
        <v>2</v>
      </c>
      <c r="D1314" t="s">
        <v>48</v>
      </c>
      <c r="E1314" t="s">
        <v>40</v>
      </c>
      <c r="F1314" t="s">
        <v>55</v>
      </c>
      <c r="G1314" t="s">
        <v>42</v>
      </c>
      <c r="H1314">
        <v>0</v>
      </c>
      <c r="I1314">
        <v>0</v>
      </c>
      <c r="J1314">
        <v>0</v>
      </c>
      <c r="K1314">
        <v>0</v>
      </c>
      <c r="L1314">
        <v>0</v>
      </c>
      <c r="M1314">
        <v>1</v>
      </c>
      <c r="N1314">
        <v>1</v>
      </c>
      <c r="O1314">
        <v>0</v>
      </c>
      <c r="Q1314">
        <v>81.599999999999994</v>
      </c>
    </row>
    <row r="1315" spans="1:17">
      <c r="A1315" t="s">
        <v>1361</v>
      </c>
      <c r="B1315" s="8">
        <v>45680</v>
      </c>
      <c r="C1315" t="s">
        <v>2</v>
      </c>
      <c r="D1315" t="s">
        <v>44</v>
      </c>
      <c r="E1315" t="s">
        <v>50</v>
      </c>
      <c r="F1315" t="s">
        <v>57</v>
      </c>
      <c r="G1315" t="s">
        <v>46</v>
      </c>
      <c r="H1315">
        <v>1</v>
      </c>
      <c r="I1315">
        <v>0</v>
      </c>
      <c r="J1315">
        <v>0</v>
      </c>
      <c r="K1315">
        <v>0</v>
      </c>
      <c r="L1315">
        <v>0</v>
      </c>
      <c r="M1315">
        <v>0</v>
      </c>
      <c r="N1315">
        <v>0</v>
      </c>
      <c r="O1315">
        <v>0</v>
      </c>
      <c r="Q1315">
        <v>91.6</v>
      </c>
    </row>
    <row r="1316" spans="1:17">
      <c r="A1316" t="s">
        <v>1362</v>
      </c>
      <c r="B1316" s="8">
        <v>45665</v>
      </c>
      <c r="C1316" t="s">
        <v>2</v>
      </c>
      <c r="D1316" t="s">
        <v>44</v>
      </c>
      <c r="E1316" t="s">
        <v>50</v>
      </c>
      <c r="G1316" t="s">
        <v>46</v>
      </c>
      <c r="H1316">
        <v>1</v>
      </c>
      <c r="I1316">
        <v>1</v>
      </c>
      <c r="J1316">
        <v>1</v>
      </c>
      <c r="K1316">
        <v>0</v>
      </c>
      <c r="L1316">
        <v>0</v>
      </c>
      <c r="M1316">
        <v>1</v>
      </c>
      <c r="N1316">
        <v>1</v>
      </c>
      <c r="O1316">
        <v>0</v>
      </c>
      <c r="Q1316">
        <v>61.5</v>
      </c>
    </row>
    <row r="1317" spans="1:17">
      <c r="A1317" t="s">
        <v>1363</v>
      </c>
      <c r="B1317" s="8">
        <v>45707</v>
      </c>
      <c r="C1317" t="s">
        <v>2</v>
      </c>
      <c r="D1317" t="s">
        <v>34</v>
      </c>
      <c r="E1317" t="s">
        <v>40</v>
      </c>
      <c r="F1317" t="s">
        <v>41</v>
      </c>
      <c r="G1317" t="s">
        <v>46</v>
      </c>
      <c r="H1317">
        <v>0</v>
      </c>
      <c r="I1317">
        <v>0</v>
      </c>
      <c r="J1317">
        <v>0</v>
      </c>
      <c r="K1317">
        <v>0</v>
      </c>
      <c r="L1317">
        <v>0</v>
      </c>
      <c r="M1317">
        <v>0</v>
      </c>
      <c r="N1317">
        <v>0</v>
      </c>
      <c r="O1317">
        <v>0</v>
      </c>
    </row>
    <row r="1318" spans="1:17">
      <c r="A1318" t="s">
        <v>1364</v>
      </c>
      <c r="B1318" s="8">
        <v>45698</v>
      </c>
      <c r="C1318" t="s">
        <v>2</v>
      </c>
      <c r="D1318" t="s">
        <v>48</v>
      </c>
      <c r="E1318" t="s">
        <v>40</v>
      </c>
      <c r="F1318" t="s">
        <v>41</v>
      </c>
      <c r="G1318" t="s">
        <v>42</v>
      </c>
      <c r="H1318">
        <v>1</v>
      </c>
      <c r="I1318">
        <v>0</v>
      </c>
      <c r="J1318">
        <v>0</v>
      </c>
      <c r="K1318">
        <v>0</v>
      </c>
      <c r="L1318">
        <v>0</v>
      </c>
      <c r="M1318">
        <v>0</v>
      </c>
      <c r="N1318">
        <v>0</v>
      </c>
      <c r="O1318">
        <v>0</v>
      </c>
      <c r="Q1318">
        <v>32.6</v>
      </c>
    </row>
    <row r="1319" spans="1:17">
      <c r="A1319" t="s">
        <v>1365</v>
      </c>
      <c r="B1319" s="8">
        <v>45760</v>
      </c>
      <c r="C1319" t="s">
        <v>2</v>
      </c>
      <c r="D1319" t="s">
        <v>48</v>
      </c>
      <c r="E1319" t="s">
        <v>40</v>
      </c>
      <c r="F1319" t="s">
        <v>45</v>
      </c>
      <c r="G1319" t="s">
        <v>42</v>
      </c>
      <c r="H1319">
        <v>1</v>
      </c>
      <c r="I1319">
        <v>0</v>
      </c>
      <c r="J1319">
        <v>0</v>
      </c>
      <c r="K1319">
        <v>0</v>
      </c>
      <c r="L1319">
        <v>0</v>
      </c>
      <c r="M1319">
        <v>0</v>
      </c>
      <c r="N1319">
        <v>0</v>
      </c>
      <c r="O1319">
        <v>0</v>
      </c>
      <c r="Q1319">
        <v>73.900000000000006</v>
      </c>
    </row>
    <row r="1320" spans="1:17">
      <c r="A1320" t="s">
        <v>1366</v>
      </c>
      <c r="B1320" s="8">
        <v>45797</v>
      </c>
      <c r="C1320" t="s">
        <v>2</v>
      </c>
      <c r="D1320" t="s">
        <v>44</v>
      </c>
      <c r="E1320" t="s">
        <v>40</v>
      </c>
      <c r="F1320" t="s">
        <v>41</v>
      </c>
      <c r="G1320" t="s">
        <v>42</v>
      </c>
      <c r="H1320">
        <v>1</v>
      </c>
      <c r="I1320">
        <v>1</v>
      </c>
      <c r="J1320">
        <v>1</v>
      </c>
      <c r="K1320">
        <v>1</v>
      </c>
      <c r="L1320">
        <v>444.06</v>
      </c>
      <c r="M1320">
        <v>0</v>
      </c>
      <c r="N1320">
        <v>0</v>
      </c>
      <c r="O1320">
        <v>0</v>
      </c>
      <c r="P1320">
        <v>9</v>
      </c>
      <c r="Q1320">
        <v>99.9</v>
      </c>
    </row>
    <row r="1321" spans="1:17">
      <c r="A1321" t="s">
        <v>1367</v>
      </c>
      <c r="B1321" s="8">
        <v>45790</v>
      </c>
      <c r="C1321" t="s">
        <v>2</v>
      </c>
      <c r="D1321" t="s">
        <v>48</v>
      </c>
      <c r="E1321" t="s">
        <v>40</v>
      </c>
      <c r="F1321" t="s">
        <v>45</v>
      </c>
      <c r="G1321" t="s">
        <v>37</v>
      </c>
      <c r="H1321">
        <v>1</v>
      </c>
      <c r="I1321">
        <v>1</v>
      </c>
      <c r="J1321">
        <v>0</v>
      </c>
      <c r="K1321">
        <v>0</v>
      </c>
      <c r="L1321">
        <v>0</v>
      </c>
      <c r="M1321">
        <v>1</v>
      </c>
      <c r="N1321">
        <v>1</v>
      </c>
      <c r="O1321">
        <v>0</v>
      </c>
      <c r="Q1321">
        <v>62.4</v>
      </c>
    </row>
    <row r="1322" spans="1:17">
      <c r="A1322" t="s">
        <v>1368</v>
      </c>
      <c r="B1322" s="8">
        <v>45805</v>
      </c>
      <c r="C1322" t="s">
        <v>2</v>
      </c>
      <c r="D1322" t="s">
        <v>48</v>
      </c>
      <c r="E1322" t="s">
        <v>35</v>
      </c>
      <c r="F1322" t="s">
        <v>45</v>
      </c>
      <c r="G1322" t="s">
        <v>37</v>
      </c>
      <c r="H1322">
        <v>1</v>
      </c>
      <c r="I1322">
        <v>0</v>
      </c>
      <c r="J1322">
        <v>0</v>
      </c>
      <c r="K1322">
        <v>0</v>
      </c>
      <c r="L1322">
        <v>0</v>
      </c>
      <c r="M1322">
        <v>0</v>
      </c>
      <c r="N1322">
        <v>0</v>
      </c>
      <c r="O1322">
        <v>0</v>
      </c>
      <c r="Q1322">
        <v>46.1</v>
      </c>
    </row>
    <row r="1323" spans="1:17">
      <c r="A1323" t="s">
        <v>1369</v>
      </c>
      <c r="B1323" s="8">
        <v>45735</v>
      </c>
      <c r="C1323" t="s">
        <v>2</v>
      </c>
      <c r="D1323" t="s">
        <v>39</v>
      </c>
      <c r="E1323" t="s">
        <v>40</v>
      </c>
      <c r="F1323" t="s">
        <v>41</v>
      </c>
      <c r="G1323" t="s">
        <v>42</v>
      </c>
      <c r="H1323">
        <v>1</v>
      </c>
      <c r="I1323">
        <v>1</v>
      </c>
      <c r="J1323">
        <v>1</v>
      </c>
      <c r="K1323">
        <v>1</v>
      </c>
      <c r="L1323">
        <v>2660.21</v>
      </c>
      <c r="M1323">
        <v>0</v>
      </c>
      <c r="N1323">
        <v>0</v>
      </c>
      <c r="O1323">
        <v>0</v>
      </c>
      <c r="P1323">
        <v>3</v>
      </c>
      <c r="Q1323">
        <v>73.900000000000006</v>
      </c>
    </row>
    <row r="1324" spans="1:17">
      <c r="A1324" t="s">
        <v>1370</v>
      </c>
      <c r="B1324" s="8">
        <v>45691</v>
      </c>
      <c r="C1324" t="s">
        <v>2</v>
      </c>
      <c r="D1324" t="s">
        <v>34</v>
      </c>
      <c r="E1324" t="s">
        <v>40</v>
      </c>
      <c r="F1324" t="s">
        <v>36</v>
      </c>
      <c r="G1324" t="s">
        <v>46</v>
      </c>
      <c r="H1324">
        <v>0</v>
      </c>
      <c r="I1324">
        <v>0</v>
      </c>
      <c r="J1324">
        <v>0</v>
      </c>
      <c r="K1324">
        <v>0</v>
      </c>
      <c r="L1324">
        <v>0</v>
      </c>
      <c r="M1324">
        <v>0</v>
      </c>
      <c r="N1324">
        <v>0</v>
      </c>
      <c r="O1324">
        <v>0</v>
      </c>
      <c r="Q1324">
        <v>90</v>
      </c>
    </row>
    <row r="1325" spans="1:17">
      <c r="A1325" t="s">
        <v>1371</v>
      </c>
      <c r="B1325" s="8">
        <v>45714</v>
      </c>
      <c r="C1325" t="s">
        <v>2</v>
      </c>
      <c r="D1325" t="s">
        <v>48</v>
      </c>
      <c r="E1325" t="s">
        <v>40</v>
      </c>
      <c r="F1325" t="s">
        <v>36</v>
      </c>
      <c r="G1325" t="s">
        <v>37</v>
      </c>
      <c r="H1325">
        <v>1</v>
      </c>
      <c r="I1325">
        <v>0</v>
      </c>
      <c r="J1325">
        <v>0</v>
      </c>
      <c r="K1325">
        <v>0</v>
      </c>
      <c r="L1325">
        <v>0</v>
      </c>
      <c r="M1325">
        <v>1</v>
      </c>
      <c r="N1325">
        <v>1</v>
      </c>
      <c r="O1325">
        <v>0</v>
      </c>
      <c r="Q1325">
        <v>68.8</v>
      </c>
    </row>
    <row r="1326" spans="1:17">
      <c r="A1326" t="s">
        <v>1372</v>
      </c>
      <c r="B1326" s="8">
        <v>45683</v>
      </c>
      <c r="C1326" t="s">
        <v>2</v>
      </c>
      <c r="D1326" t="s">
        <v>39</v>
      </c>
      <c r="E1326" t="s">
        <v>40</v>
      </c>
      <c r="F1326" t="s">
        <v>45</v>
      </c>
      <c r="G1326" t="s">
        <v>42</v>
      </c>
      <c r="H1326">
        <v>1</v>
      </c>
      <c r="I1326">
        <v>0</v>
      </c>
      <c r="J1326">
        <v>0</v>
      </c>
      <c r="K1326">
        <v>0</v>
      </c>
      <c r="L1326">
        <v>0</v>
      </c>
      <c r="M1326">
        <v>0</v>
      </c>
      <c r="N1326">
        <v>0</v>
      </c>
      <c r="O1326">
        <v>0</v>
      </c>
      <c r="Q1326">
        <v>66.599999999999994</v>
      </c>
    </row>
    <row r="1327" spans="1:17">
      <c r="A1327" t="s">
        <v>1373</v>
      </c>
      <c r="B1327" s="8">
        <v>45790</v>
      </c>
      <c r="C1327" t="s">
        <v>2</v>
      </c>
      <c r="D1327" t="s">
        <v>34</v>
      </c>
      <c r="E1327" t="s">
        <v>40</v>
      </c>
      <c r="F1327" t="s">
        <v>41</v>
      </c>
      <c r="G1327" t="s">
        <v>46</v>
      </c>
      <c r="H1327">
        <v>1</v>
      </c>
      <c r="I1327">
        <v>0</v>
      </c>
      <c r="J1327">
        <v>0</v>
      </c>
      <c r="K1327">
        <v>0</v>
      </c>
      <c r="L1327">
        <v>0</v>
      </c>
      <c r="M1327">
        <v>0</v>
      </c>
      <c r="N1327">
        <v>0</v>
      </c>
      <c r="O1327">
        <v>0</v>
      </c>
      <c r="Q1327">
        <v>49.7</v>
      </c>
    </row>
    <row r="1328" spans="1:17">
      <c r="A1328" t="s">
        <v>1374</v>
      </c>
      <c r="B1328" s="8">
        <v>45690</v>
      </c>
      <c r="C1328" t="s">
        <v>2</v>
      </c>
      <c r="D1328" t="s">
        <v>48</v>
      </c>
      <c r="E1328" t="s">
        <v>40</v>
      </c>
      <c r="F1328" t="s">
        <v>45</v>
      </c>
      <c r="G1328" t="s">
        <v>37</v>
      </c>
      <c r="H1328">
        <v>0</v>
      </c>
      <c r="I1328">
        <v>0</v>
      </c>
      <c r="J1328">
        <v>0</v>
      </c>
      <c r="K1328">
        <v>0</v>
      </c>
      <c r="L1328">
        <v>0</v>
      </c>
      <c r="M1328">
        <v>0</v>
      </c>
      <c r="N1328">
        <v>0</v>
      </c>
      <c r="O1328">
        <v>0</v>
      </c>
      <c r="Q1328">
        <v>67.900000000000006</v>
      </c>
    </row>
    <row r="1329" spans="1:17">
      <c r="A1329" t="s">
        <v>1375</v>
      </c>
      <c r="B1329" s="8">
        <v>45777</v>
      </c>
      <c r="C1329" t="s">
        <v>2</v>
      </c>
      <c r="D1329" t="s">
        <v>39</v>
      </c>
      <c r="E1329" t="s">
        <v>40</v>
      </c>
      <c r="G1329" t="s">
        <v>37</v>
      </c>
      <c r="H1329">
        <v>0</v>
      </c>
      <c r="I1329">
        <v>0</v>
      </c>
      <c r="J1329">
        <v>0</v>
      </c>
      <c r="K1329">
        <v>0</v>
      </c>
      <c r="L1329">
        <v>0</v>
      </c>
      <c r="M1329">
        <v>0</v>
      </c>
      <c r="N1329">
        <v>0</v>
      </c>
      <c r="O1329">
        <v>0</v>
      </c>
      <c r="Q1329">
        <v>66.900000000000006</v>
      </c>
    </row>
    <row r="1330" spans="1:17">
      <c r="A1330" t="s">
        <v>1376</v>
      </c>
      <c r="B1330" s="8">
        <v>45745</v>
      </c>
      <c r="C1330" t="s">
        <v>2</v>
      </c>
      <c r="D1330" t="s">
        <v>44</v>
      </c>
      <c r="E1330" t="s">
        <v>40</v>
      </c>
      <c r="F1330" t="s">
        <v>41</v>
      </c>
      <c r="G1330" t="s">
        <v>42</v>
      </c>
      <c r="H1330">
        <v>0</v>
      </c>
      <c r="I1330">
        <v>0</v>
      </c>
      <c r="J1330">
        <v>0</v>
      </c>
      <c r="K1330">
        <v>0</v>
      </c>
      <c r="L1330">
        <v>0</v>
      </c>
      <c r="M1330">
        <v>0</v>
      </c>
      <c r="N1330">
        <v>0</v>
      </c>
      <c r="O1330">
        <v>0</v>
      </c>
      <c r="Q1330">
        <v>46.1</v>
      </c>
    </row>
    <row r="1331" spans="1:17">
      <c r="A1331" t="s">
        <v>1377</v>
      </c>
      <c r="B1331" s="8">
        <v>45756</v>
      </c>
      <c r="C1331" t="s">
        <v>2</v>
      </c>
      <c r="D1331" t="s">
        <v>39</v>
      </c>
      <c r="E1331" t="s">
        <v>35</v>
      </c>
      <c r="F1331" t="s">
        <v>55</v>
      </c>
      <c r="G1331" t="s">
        <v>46</v>
      </c>
      <c r="H1331">
        <v>1</v>
      </c>
      <c r="I1331">
        <v>0</v>
      </c>
      <c r="J1331">
        <v>0</v>
      </c>
      <c r="K1331">
        <v>0</v>
      </c>
      <c r="L1331">
        <v>0</v>
      </c>
      <c r="M1331">
        <v>0</v>
      </c>
      <c r="N1331">
        <v>0</v>
      </c>
      <c r="O1331">
        <v>0</v>
      </c>
      <c r="Q1331">
        <v>85.6</v>
      </c>
    </row>
    <row r="1332" spans="1:17">
      <c r="A1332" t="s">
        <v>1378</v>
      </c>
      <c r="B1332" s="8">
        <v>45679</v>
      </c>
      <c r="C1332" t="s">
        <v>2</v>
      </c>
      <c r="D1332" t="s">
        <v>48</v>
      </c>
      <c r="E1332" t="s">
        <v>50</v>
      </c>
      <c r="F1332" t="s">
        <v>41</v>
      </c>
      <c r="G1332" t="s">
        <v>42</v>
      </c>
      <c r="H1332">
        <v>0</v>
      </c>
      <c r="I1332">
        <v>0</v>
      </c>
      <c r="J1332">
        <v>0</v>
      </c>
      <c r="K1332">
        <v>0</v>
      </c>
      <c r="L1332">
        <v>0</v>
      </c>
      <c r="M1332">
        <v>0</v>
      </c>
      <c r="N1332">
        <v>0</v>
      </c>
      <c r="O1332">
        <v>0</v>
      </c>
      <c r="Q1332">
        <v>39.6</v>
      </c>
    </row>
    <row r="1333" spans="1:17">
      <c r="A1333" t="s">
        <v>1379</v>
      </c>
      <c r="B1333" s="8">
        <v>45684</v>
      </c>
      <c r="C1333" t="s">
        <v>2</v>
      </c>
      <c r="D1333" t="s">
        <v>48</v>
      </c>
      <c r="E1333" t="s">
        <v>40</v>
      </c>
      <c r="F1333" t="s">
        <v>41</v>
      </c>
      <c r="G1333" t="s">
        <v>37</v>
      </c>
      <c r="H1333">
        <v>1</v>
      </c>
      <c r="I1333">
        <v>0</v>
      </c>
      <c r="J1333">
        <v>0</v>
      </c>
      <c r="K1333">
        <v>0</v>
      </c>
      <c r="L1333">
        <v>0</v>
      </c>
      <c r="M1333">
        <v>0</v>
      </c>
      <c r="N1333">
        <v>0</v>
      </c>
      <c r="O1333">
        <v>0</v>
      </c>
      <c r="Q1333">
        <v>52.5</v>
      </c>
    </row>
    <row r="1334" spans="1:17">
      <c r="A1334" t="s">
        <v>1380</v>
      </c>
      <c r="B1334" s="8">
        <v>45679</v>
      </c>
      <c r="C1334" t="s">
        <v>2</v>
      </c>
      <c r="D1334" t="s">
        <v>44</v>
      </c>
      <c r="E1334" t="s">
        <v>40</v>
      </c>
      <c r="F1334" t="s">
        <v>57</v>
      </c>
      <c r="G1334" t="s">
        <v>46</v>
      </c>
      <c r="H1334">
        <v>1</v>
      </c>
      <c r="I1334">
        <v>0</v>
      </c>
      <c r="J1334">
        <v>0</v>
      </c>
      <c r="K1334">
        <v>0</v>
      </c>
      <c r="L1334">
        <v>0</v>
      </c>
      <c r="M1334">
        <v>0</v>
      </c>
      <c r="N1334">
        <v>0</v>
      </c>
      <c r="O1334">
        <v>0</v>
      </c>
      <c r="Q1334">
        <v>73.5</v>
      </c>
    </row>
    <row r="1335" spans="1:17">
      <c r="A1335" t="s">
        <v>1381</v>
      </c>
      <c r="B1335" s="8">
        <v>45663</v>
      </c>
      <c r="C1335" t="s">
        <v>2</v>
      </c>
      <c r="D1335" t="s">
        <v>39</v>
      </c>
      <c r="E1335" t="s">
        <v>35</v>
      </c>
      <c r="F1335" t="s">
        <v>45</v>
      </c>
      <c r="G1335" t="s">
        <v>42</v>
      </c>
      <c r="H1335">
        <v>0</v>
      </c>
      <c r="I1335">
        <v>0</v>
      </c>
      <c r="J1335">
        <v>0</v>
      </c>
      <c r="K1335">
        <v>0</v>
      </c>
      <c r="L1335">
        <v>0</v>
      </c>
      <c r="M1335">
        <v>0</v>
      </c>
      <c r="N1335">
        <v>0</v>
      </c>
      <c r="O1335">
        <v>0</v>
      </c>
      <c r="Q1335">
        <v>62.5</v>
      </c>
    </row>
    <row r="1336" spans="1:17">
      <c r="A1336" t="s">
        <v>1382</v>
      </c>
      <c r="B1336" s="8">
        <v>45763</v>
      </c>
      <c r="C1336" t="s">
        <v>2</v>
      </c>
      <c r="D1336" t="s">
        <v>48</v>
      </c>
      <c r="F1336" t="s">
        <v>41</v>
      </c>
      <c r="G1336" t="s">
        <v>42</v>
      </c>
      <c r="H1336">
        <v>1</v>
      </c>
      <c r="I1336">
        <v>0</v>
      </c>
      <c r="J1336">
        <v>0</v>
      </c>
      <c r="K1336">
        <v>0</v>
      </c>
      <c r="L1336">
        <v>0</v>
      </c>
      <c r="M1336">
        <v>0</v>
      </c>
      <c r="N1336">
        <v>0</v>
      </c>
      <c r="O1336">
        <v>0</v>
      </c>
      <c r="Q1336">
        <v>76.900000000000006</v>
      </c>
    </row>
    <row r="1337" spans="1:17">
      <c r="A1337" t="s">
        <v>1383</v>
      </c>
      <c r="B1337" s="8">
        <v>45761</v>
      </c>
      <c r="C1337" t="s">
        <v>2</v>
      </c>
      <c r="D1337" t="s">
        <v>48</v>
      </c>
      <c r="E1337" t="s">
        <v>40</v>
      </c>
      <c r="F1337" t="s">
        <v>41</v>
      </c>
      <c r="G1337" t="s">
        <v>42</v>
      </c>
      <c r="H1337">
        <v>1</v>
      </c>
      <c r="I1337">
        <v>0</v>
      </c>
      <c r="J1337">
        <v>0</v>
      </c>
      <c r="K1337">
        <v>0</v>
      </c>
      <c r="L1337">
        <v>0</v>
      </c>
      <c r="M1337">
        <v>0</v>
      </c>
      <c r="N1337">
        <v>0</v>
      </c>
      <c r="O1337">
        <v>0</v>
      </c>
      <c r="Q1337">
        <v>51.4</v>
      </c>
    </row>
    <row r="1338" spans="1:17">
      <c r="A1338" t="s">
        <v>1384</v>
      </c>
      <c r="B1338" s="8">
        <v>45710</v>
      </c>
      <c r="C1338" t="s">
        <v>2</v>
      </c>
      <c r="D1338" t="s">
        <v>39</v>
      </c>
      <c r="E1338" t="s">
        <v>40</v>
      </c>
      <c r="F1338" t="s">
        <v>45</v>
      </c>
      <c r="G1338" t="s">
        <v>37</v>
      </c>
      <c r="H1338">
        <v>1</v>
      </c>
      <c r="I1338">
        <v>0</v>
      </c>
      <c r="J1338">
        <v>0</v>
      </c>
      <c r="K1338">
        <v>0</v>
      </c>
      <c r="L1338">
        <v>0</v>
      </c>
      <c r="M1338">
        <v>0</v>
      </c>
      <c r="N1338">
        <v>0</v>
      </c>
      <c r="O1338">
        <v>0</v>
      </c>
      <c r="Q1338">
        <v>59.3</v>
      </c>
    </row>
    <row r="1339" spans="1:17">
      <c r="A1339" t="s">
        <v>1385</v>
      </c>
      <c r="B1339" s="8">
        <v>45725</v>
      </c>
      <c r="C1339" t="s">
        <v>2</v>
      </c>
      <c r="D1339" t="s">
        <v>34</v>
      </c>
      <c r="E1339" t="s">
        <v>40</v>
      </c>
      <c r="F1339" t="s">
        <v>41</v>
      </c>
      <c r="G1339" t="s">
        <v>37</v>
      </c>
      <c r="H1339">
        <v>0</v>
      </c>
      <c r="I1339">
        <v>0</v>
      </c>
      <c r="J1339">
        <v>0</v>
      </c>
      <c r="K1339">
        <v>0</v>
      </c>
      <c r="L1339">
        <v>0</v>
      </c>
      <c r="M1339">
        <v>0</v>
      </c>
      <c r="N1339">
        <v>0</v>
      </c>
      <c r="O1339">
        <v>0</v>
      </c>
      <c r="Q1339">
        <v>74.900000000000006</v>
      </c>
    </row>
    <row r="1340" spans="1:17">
      <c r="A1340" t="s">
        <v>1386</v>
      </c>
      <c r="B1340" s="8">
        <v>45767</v>
      </c>
      <c r="C1340" t="s">
        <v>2</v>
      </c>
      <c r="D1340" t="s">
        <v>39</v>
      </c>
      <c r="E1340" t="s">
        <v>35</v>
      </c>
      <c r="F1340" t="s">
        <v>41</v>
      </c>
      <c r="G1340" t="s">
        <v>42</v>
      </c>
      <c r="H1340">
        <v>1</v>
      </c>
      <c r="I1340">
        <v>0</v>
      </c>
      <c r="J1340">
        <v>0</v>
      </c>
      <c r="K1340">
        <v>0</v>
      </c>
      <c r="L1340">
        <v>0</v>
      </c>
      <c r="M1340">
        <v>0</v>
      </c>
      <c r="N1340">
        <v>0</v>
      </c>
      <c r="O1340">
        <v>0</v>
      </c>
      <c r="Q1340">
        <v>67</v>
      </c>
    </row>
    <row r="1341" spans="1:17">
      <c r="A1341" t="s">
        <v>1387</v>
      </c>
      <c r="B1341" s="8">
        <v>45726</v>
      </c>
      <c r="C1341" t="s">
        <v>2</v>
      </c>
      <c r="D1341" t="s">
        <v>48</v>
      </c>
      <c r="E1341" t="s">
        <v>40</v>
      </c>
      <c r="F1341" t="s">
        <v>36</v>
      </c>
      <c r="G1341" t="s">
        <v>42</v>
      </c>
      <c r="H1341">
        <v>0</v>
      </c>
      <c r="I1341">
        <v>0</v>
      </c>
      <c r="J1341">
        <v>0</v>
      </c>
      <c r="K1341">
        <v>0</v>
      </c>
      <c r="L1341">
        <v>0</v>
      </c>
      <c r="M1341">
        <v>0</v>
      </c>
      <c r="N1341">
        <v>0</v>
      </c>
      <c r="O1341">
        <v>0</v>
      </c>
      <c r="Q1341">
        <v>63.6</v>
      </c>
    </row>
    <row r="1342" spans="1:17">
      <c r="A1342" t="s">
        <v>1388</v>
      </c>
      <c r="B1342" s="8">
        <v>45709</v>
      </c>
      <c r="C1342" t="s">
        <v>2</v>
      </c>
      <c r="D1342" t="s">
        <v>48</v>
      </c>
      <c r="E1342" t="s">
        <v>40</v>
      </c>
      <c r="F1342" t="s">
        <v>36</v>
      </c>
      <c r="G1342" t="s">
        <v>42</v>
      </c>
      <c r="H1342">
        <v>1</v>
      </c>
      <c r="I1342">
        <v>1</v>
      </c>
      <c r="J1342">
        <v>0</v>
      </c>
      <c r="K1342">
        <v>0</v>
      </c>
      <c r="L1342">
        <v>0</v>
      </c>
      <c r="M1342">
        <v>1</v>
      </c>
      <c r="N1342">
        <v>1</v>
      </c>
      <c r="O1342">
        <v>0</v>
      </c>
      <c r="Q1342">
        <v>58.4</v>
      </c>
    </row>
    <row r="1343" spans="1:17">
      <c r="A1343" t="s">
        <v>1389</v>
      </c>
      <c r="B1343" s="8">
        <v>45663</v>
      </c>
      <c r="C1343" t="s">
        <v>2</v>
      </c>
      <c r="D1343" t="s">
        <v>34</v>
      </c>
      <c r="E1343" t="s">
        <v>35</v>
      </c>
      <c r="F1343" t="s">
        <v>57</v>
      </c>
      <c r="G1343" t="s">
        <v>42</v>
      </c>
      <c r="H1343">
        <v>1</v>
      </c>
      <c r="I1343">
        <v>0</v>
      </c>
      <c r="J1343">
        <v>0</v>
      </c>
      <c r="K1343">
        <v>0</v>
      </c>
      <c r="L1343">
        <v>0</v>
      </c>
      <c r="M1343">
        <v>0</v>
      </c>
      <c r="N1343">
        <v>0</v>
      </c>
      <c r="O1343">
        <v>0</v>
      </c>
      <c r="Q1343">
        <v>36.799999999999997</v>
      </c>
    </row>
    <row r="1344" spans="1:17">
      <c r="A1344" t="s">
        <v>1390</v>
      </c>
      <c r="B1344" s="8">
        <v>45764</v>
      </c>
      <c r="C1344" t="s">
        <v>2</v>
      </c>
      <c r="D1344" t="s">
        <v>48</v>
      </c>
      <c r="E1344" t="s">
        <v>40</v>
      </c>
      <c r="F1344" t="s">
        <v>41</v>
      </c>
      <c r="G1344" t="s">
        <v>46</v>
      </c>
      <c r="H1344">
        <v>1</v>
      </c>
      <c r="I1344">
        <v>0</v>
      </c>
      <c r="J1344">
        <v>0</v>
      </c>
      <c r="K1344">
        <v>0</v>
      </c>
      <c r="L1344">
        <v>0</v>
      </c>
      <c r="M1344">
        <v>0</v>
      </c>
      <c r="N1344">
        <v>0</v>
      </c>
      <c r="O1344">
        <v>0</v>
      </c>
      <c r="Q1344">
        <v>71.599999999999994</v>
      </c>
    </row>
    <row r="1345" spans="1:17">
      <c r="A1345" t="s">
        <v>1391</v>
      </c>
      <c r="B1345" s="8">
        <v>45800</v>
      </c>
      <c r="C1345" t="s">
        <v>2</v>
      </c>
      <c r="D1345" t="s">
        <v>48</v>
      </c>
      <c r="E1345" t="s">
        <v>40</v>
      </c>
      <c r="F1345" t="s">
        <v>36</v>
      </c>
      <c r="G1345" t="s">
        <v>37</v>
      </c>
      <c r="H1345">
        <v>1</v>
      </c>
      <c r="I1345">
        <v>1</v>
      </c>
      <c r="J1345">
        <v>0</v>
      </c>
      <c r="K1345">
        <v>0</v>
      </c>
      <c r="L1345">
        <v>0</v>
      </c>
      <c r="M1345">
        <v>1</v>
      </c>
      <c r="N1345">
        <v>1</v>
      </c>
      <c r="O1345">
        <v>0</v>
      </c>
      <c r="Q1345">
        <v>79.7</v>
      </c>
    </row>
    <row r="1346" spans="1:17">
      <c r="A1346" t="s">
        <v>1392</v>
      </c>
      <c r="B1346" s="8">
        <v>45730</v>
      </c>
      <c r="C1346" t="s">
        <v>2</v>
      </c>
      <c r="D1346" t="s">
        <v>39</v>
      </c>
      <c r="E1346" t="s">
        <v>35</v>
      </c>
      <c r="F1346" t="s">
        <v>41</v>
      </c>
      <c r="G1346" t="s">
        <v>37</v>
      </c>
      <c r="H1346">
        <v>1</v>
      </c>
      <c r="I1346">
        <v>0</v>
      </c>
      <c r="J1346">
        <v>0</v>
      </c>
      <c r="K1346">
        <v>0</v>
      </c>
      <c r="L1346">
        <v>0</v>
      </c>
      <c r="M1346">
        <v>1</v>
      </c>
      <c r="N1346">
        <v>1</v>
      </c>
      <c r="O1346">
        <v>0</v>
      </c>
      <c r="Q1346">
        <v>56.5</v>
      </c>
    </row>
    <row r="1347" spans="1:17">
      <c r="A1347" t="s">
        <v>1393</v>
      </c>
      <c r="B1347" s="8">
        <v>45768</v>
      </c>
      <c r="C1347" t="s">
        <v>2</v>
      </c>
      <c r="D1347" t="s">
        <v>34</v>
      </c>
      <c r="E1347" t="s">
        <v>40</v>
      </c>
      <c r="F1347" t="s">
        <v>57</v>
      </c>
      <c r="G1347" t="s">
        <v>46</v>
      </c>
      <c r="H1347">
        <v>1</v>
      </c>
      <c r="I1347">
        <v>0</v>
      </c>
      <c r="J1347">
        <v>0</v>
      </c>
      <c r="K1347">
        <v>0</v>
      </c>
      <c r="L1347">
        <v>0</v>
      </c>
      <c r="M1347">
        <v>0</v>
      </c>
      <c r="N1347">
        <v>0</v>
      </c>
      <c r="O1347">
        <v>0</v>
      </c>
      <c r="Q1347">
        <v>44.7</v>
      </c>
    </row>
    <row r="1348" spans="1:17">
      <c r="A1348" t="s">
        <v>1394</v>
      </c>
      <c r="B1348" s="8">
        <v>45660</v>
      </c>
      <c r="C1348" t="s">
        <v>2</v>
      </c>
      <c r="D1348" t="s">
        <v>48</v>
      </c>
      <c r="E1348" t="s">
        <v>40</v>
      </c>
      <c r="F1348" t="s">
        <v>57</v>
      </c>
      <c r="G1348" t="s">
        <v>42</v>
      </c>
      <c r="H1348">
        <v>1</v>
      </c>
      <c r="I1348">
        <v>1</v>
      </c>
      <c r="J1348">
        <v>1</v>
      </c>
      <c r="K1348">
        <v>0</v>
      </c>
      <c r="L1348">
        <v>0</v>
      </c>
      <c r="M1348">
        <v>1</v>
      </c>
      <c r="N1348">
        <v>1</v>
      </c>
      <c r="O1348">
        <v>0</v>
      </c>
      <c r="Q1348">
        <v>66</v>
      </c>
    </row>
    <row r="1349" spans="1:17">
      <c r="A1349" t="s">
        <v>1395</v>
      </c>
      <c r="B1349" s="8">
        <v>45786</v>
      </c>
      <c r="C1349" t="s">
        <v>2</v>
      </c>
      <c r="D1349" t="s">
        <v>34</v>
      </c>
      <c r="E1349" t="s">
        <v>35</v>
      </c>
      <c r="F1349" t="s">
        <v>41</v>
      </c>
      <c r="G1349" t="s">
        <v>37</v>
      </c>
      <c r="H1349">
        <v>1</v>
      </c>
      <c r="I1349">
        <v>0</v>
      </c>
      <c r="J1349">
        <v>0</v>
      </c>
      <c r="K1349">
        <v>0</v>
      </c>
      <c r="L1349">
        <v>0</v>
      </c>
      <c r="M1349">
        <v>0</v>
      </c>
      <c r="N1349">
        <v>0</v>
      </c>
      <c r="O1349">
        <v>0</v>
      </c>
      <c r="Q1349">
        <v>73</v>
      </c>
    </row>
    <row r="1350" spans="1:17">
      <c r="A1350" t="s">
        <v>1396</v>
      </c>
      <c r="B1350" s="8">
        <v>45799</v>
      </c>
      <c r="C1350" t="s">
        <v>2</v>
      </c>
      <c r="D1350" t="s">
        <v>48</v>
      </c>
      <c r="E1350" t="s">
        <v>40</v>
      </c>
      <c r="F1350" t="s">
        <v>41</v>
      </c>
      <c r="G1350" t="s">
        <v>37</v>
      </c>
      <c r="H1350">
        <v>1</v>
      </c>
      <c r="I1350">
        <v>1</v>
      </c>
      <c r="J1350">
        <v>1</v>
      </c>
      <c r="K1350">
        <v>0</v>
      </c>
      <c r="L1350">
        <v>0</v>
      </c>
      <c r="M1350">
        <v>1</v>
      </c>
      <c r="N1350">
        <v>1</v>
      </c>
      <c r="O1350">
        <v>0</v>
      </c>
      <c r="Q1350">
        <v>72.5</v>
      </c>
    </row>
    <row r="1351" spans="1:17">
      <c r="A1351" t="s">
        <v>1397</v>
      </c>
      <c r="B1351" s="8">
        <v>45784</v>
      </c>
      <c r="C1351" t="s">
        <v>2</v>
      </c>
      <c r="D1351" t="s">
        <v>48</v>
      </c>
      <c r="E1351" t="s">
        <v>35</v>
      </c>
      <c r="F1351" t="s">
        <v>45</v>
      </c>
      <c r="G1351" t="s">
        <v>42</v>
      </c>
      <c r="H1351">
        <v>1</v>
      </c>
      <c r="I1351">
        <v>1</v>
      </c>
      <c r="J1351">
        <v>1</v>
      </c>
      <c r="K1351">
        <v>1</v>
      </c>
      <c r="L1351">
        <v>323.60000000000002</v>
      </c>
      <c r="M1351">
        <v>0</v>
      </c>
      <c r="N1351">
        <v>0</v>
      </c>
      <c r="O1351">
        <v>0</v>
      </c>
      <c r="P1351">
        <v>6</v>
      </c>
      <c r="Q1351">
        <v>100</v>
      </c>
    </row>
    <row r="1352" spans="1:17">
      <c r="A1352" t="s">
        <v>1398</v>
      </c>
      <c r="B1352" s="8">
        <v>45696</v>
      </c>
      <c r="C1352" t="s">
        <v>2</v>
      </c>
      <c r="D1352" t="s">
        <v>44</v>
      </c>
      <c r="E1352" t="s">
        <v>40</v>
      </c>
      <c r="F1352" t="s">
        <v>57</v>
      </c>
      <c r="G1352" t="s">
        <v>42</v>
      </c>
      <c r="H1352">
        <v>0</v>
      </c>
      <c r="I1352">
        <v>0</v>
      </c>
      <c r="J1352">
        <v>0</v>
      </c>
      <c r="K1352">
        <v>0</v>
      </c>
      <c r="L1352">
        <v>0</v>
      </c>
      <c r="M1352">
        <v>1</v>
      </c>
      <c r="N1352">
        <v>1</v>
      </c>
      <c r="O1352">
        <v>0</v>
      </c>
      <c r="Q1352">
        <v>90.5</v>
      </c>
    </row>
    <row r="1353" spans="1:17">
      <c r="A1353" t="s">
        <v>1399</v>
      </c>
      <c r="B1353" s="8">
        <v>45750</v>
      </c>
      <c r="C1353" t="s">
        <v>2</v>
      </c>
      <c r="D1353" t="s">
        <v>34</v>
      </c>
      <c r="E1353" t="s">
        <v>50</v>
      </c>
      <c r="F1353" t="s">
        <v>57</v>
      </c>
      <c r="G1353" t="s">
        <v>37</v>
      </c>
      <c r="H1353">
        <v>1</v>
      </c>
      <c r="I1353">
        <v>0</v>
      </c>
      <c r="J1353">
        <v>0</v>
      </c>
      <c r="K1353">
        <v>0</v>
      </c>
      <c r="L1353">
        <v>0</v>
      </c>
      <c r="M1353">
        <v>0</v>
      </c>
      <c r="N1353">
        <v>0</v>
      </c>
      <c r="O1353">
        <v>0</v>
      </c>
      <c r="Q1353">
        <v>70.2</v>
      </c>
    </row>
    <row r="1354" spans="1:17">
      <c r="A1354" t="s">
        <v>1400</v>
      </c>
      <c r="B1354" s="8">
        <v>45764</v>
      </c>
      <c r="C1354" t="s">
        <v>2</v>
      </c>
      <c r="D1354" t="s">
        <v>44</v>
      </c>
      <c r="E1354" t="s">
        <v>35</v>
      </c>
      <c r="F1354" t="s">
        <v>45</v>
      </c>
      <c r="G1354" t="s">
        <v>42</v>
      </c>
      <c r="H1354">
        <v>1</v>
      </c>
      <c r="I1354">
        <v>0</v>
      </c>
      <c r="J1354">
        <v>0</v>
      </c>
      <c r="K1354">
        <v>0</v>
      </c>
      <c r="L1354">
        <v>0</v>
      </c>
      <c r="M1354">
        <v>1</v>
      </c>
      <c r="N1354">
        <v>1</v>
      </c>
      <c r="O1354">
        <v>0</v>
      </c>
      <c r="Q1354">
        <v>67.099999999999994</v>
      </c>
    </row>
    <row r="1355" spans="1:17">
      <c r="A1355" t="s">
        <v>1401</v>
      </c>
      <c r="B1355" s="8">
        <v>45781</v>
      </c>
      <c r="C1355" t="s">
        <v>2</v>
      </c>
      <c r="D1355" t="s">
        <v>44</v>
      </c>
      <c r="E1355" t="s">
        <v>40</v>
      </c>
      <c r="F1355" t="s">
        <v>41</v>
      </c>
      <c r="G1355" t="s">
        <v>42</v>
      </c>
      <c r="H1355">
        <v>0</v>
      </c>
      <c r="I1355">
        <v>0</v>
      </c>
      <c r="J1355">
        <v>0</v>
      </c>
      <c r="K1355">
        <v>0</v>
      </c>
      <c r="L1355">
        <v>0</v>
      </c>
      <c r="M1355">
        <v>0</v>
      </c>
      <c r="N1355">
        <v>0</v>
      </c>
      <c r="O1355">
        <v>0</v>
      </c>
      <c r="Q1355">
        <v>54.5</v>
      </c>
    </row>
    <row r="1356" spans="1:17">
      <c r="A1356" t="s">
        <v>1402</v>
      </c>
      <c r="B1356" s="8">
        <v>45788</v>
      </c>
      <c r="C1356" t="s">
        <v>2</v>
      </c>
      <c r="D1356" t="s">
        <v>39</v>
      </c>
      <c r="E1356" t="s">
        <v>35</v>
      </c>
      <c r="F1356" t="s">
        <v>41</v>
      </c>
      <c r="G1356" t="s">
        <v>42</v>
      </c>
      <c r="H1356">
        <v>1</v>
      </c>
      <c r="I1356">
        <v>0</v>
      </c>
      <c r="J1356">
        <v>0</v>
      </c>
      <c r="K1356">
        <v>0</v>
      </c>
      <c r="L1356">
        <v>0</v>
      </c>
      <c r="M1356">
        <v>0</v>
      </c>
      <c r="N1356">
        <v>0</v>
      </c>
      <c r="O1356">
        <v>0</v>
      </c>
      <c r="Q1356">
        <v>63.4</v>
      </c>
    </row>
    <row r="1357" spans="1:17">
      <c r="A1357" t="s">
        <v>1403</v>
      </c>
      <c r="B1357" s="8">
        <v>45717</v>
      </c>
      <c r="C1357" t="s">
        <v>2</v>
      </c>
      <c r="D1357" t="s">
        <v>34</v>
      </c>
      <c r="E1357" t="s">
        <v>35</v>
      </c>
      <c r="G1357" t="s">
        <v>42</v>
      </c>
      <c r="H1357">
        <v>1</v>
      </c>
      <c r="I1357">
        <v>1</v>
      </c>
      <c r="J1357">
        <v>1</v>
      </c>
      <c r="K1357">
        <v>0</v>
      </c>
      <c r="L1357">
        <v>0</v>
      </c>
      <c r="M1357">
        <v>0</v>
      </c>
      <c r="N1357">
        <v>0</v>
      </c>
      <c r="O1357">
        <v>0</v>
      </c>
      <c r="Q1357">
        <v>84.3</v>
      </c>
    </row>
    <row r="1358" spans="1:17">
      <c r="A1358" t="s">
        <v>1404</v>
      </c>
      <c r="B1358" s="8">
        <v>45708</v>
      </c>
      <c r="C1358" t="s">
        <v>2</v>
      </c>
      <c r="D1358" t="s">
        <v>39</v>
      </c>
      <c r="E1358" t="s">
        <v>35</v>
      </c>
      <c r="F1358" t="s">
        <v>41</v>
      </c>
      <c r="G1358" t="s">
        <v>42</v>
      </c>
      <c r="H1358">
        <v>1</v>
      </c>
      <c r="I1358">
        <v>0</v>
      </c>
      <c r="J1358">
        <v>0</v>
      </c>
      <c r="K1358">
        <v>0</v>
      </c>
      <c r="L1358">
        <v>0</v>
      </c>
      <c r="M1358">
        <v>1</v>
      </c>
      <c r="N1358">
        <v>1</v>
      </c>
      <c r="O1358">
        <v>0</v>
      </c>
      <c r="Q1358">
        <v>55</v>
      </c>
    </row>
    <row r="1359" spans="1:17">
      <c r="A1359" t="s">
        <v>1405</v>
      </c>
      <c r="B1359" s="8">
        <v>45786</v>
      </c>
      <c r="C1359" t="s">
        <v>2</v>
      </c>
      <c r="D1359" t="s">
        <v>39</v>
      </c>
      <c r="E1359" t="s">
        <v>40</v>
      </c>
      <c r="F1359" t="s">
        <v>57</v>
      </c>
      <c r="G1359" t="s">
        <v>42</v>
      </c>
      <c r="H1359">
        <v>1</v>
      </c>
      <c r="I1359">
        <v>0</v>
      </c>
      <c r="J1359">
        <v>0</v>
      </c>
      <c r="K1359">
        <v>0</v>
      </c>
      <c r="L1359">
        <v>0</v>
      </c>
      <c r="M1359">
        <v>0</v>
      </c>
      <c r="N1359">
        <v>0</v>
      </c>
      <c r="O1359">
        <v>0</v>
      </c>
      <c r="Q1359">
        <v>63.6</v>
      </c>
    </row>
    <row r="1360" spans="1:17">
      <c r="A1360" t="s">
        <v>1406</v>
      </c>
      <c r="B1360" s="8">
        <v>45777</v>
      </c>
      <c r="C1360" t="s">
        <v>2</v>
      </c>
      <c r="D1360" t="s">
        <v>39</v>
      </c>
      <c r="E1360" t="s">
        <v>40</v>
      </c>
      <c r="F1360" t="s">
        <v>41</v>
      </c>
      <c r="G1360" t="s">
        <v>42</v>
      </c>
      <c r="H1360">
        <v>1</v>
      </c>
      <c r="I1360">
        <v>0</v>
      </c>
      <c r="J1360">
        <v>0</v>
      </c>
      <c r="K1360">
        <v>0</v>
      </c>
      <c r="L1360">
        <v>0</v>
      </c>
      <c r="M1360">
        <v>0</v>
      </c>
      <c r="N1360">
        <v>0</v>
      </c>
      <c r="O1360">
        <v>0</v>
      </c>
      <c r="Q1360">
        <v>55.5</v>
      </c>
    </row>
    <row r="1361" spans="1:17">
      <c r="A1361" t="s">
        <v>1407</v>
      </c>
      <c r="B1361" s="8">
        <v>45664</v>
      </c>
      <c r="C1361" t="s">
        <v>2</v>
      </c>
      <c r="D1361" t="s">
        <v>48</v>
      </c>
      <c r="E1361" t="s">
        <v>40</v>
      </c>
      <c r="F1361" t="s">
        <v>57</v>
      </c>
      <c r="G1361" t="s">
        <v>37</v>
      </c>
      <c r="H1361">
        <v>0</v>
      </c>
      <c r="I1361">
        <v>0</v>
      </c>
      <c r="J1361">
        <v>0</v>
      </c>
      <c r="K1361">
        <v>0</v>
      </c>
      <c r="L1361">
        <v>0</v>
      </c>
      <c r="M1361">
        <v>0</v>
      </c>
      <c r="N1361">
        <v>0</v>
      </c>
      <c r="O1361">
        <v>0</v>
      </c>
      <c r="Q1361">
        <v>50.5</v>
      </c>
    </row>
    <row r="1362" spans="1:17">
      <c r="A1362" t="s">
        <v>1408</v>
      </c>
      <c r="B1362" s="8">
        <v>45777</v>
      </c>
      <c r="C1362" t="s">
        <v>2</v>
      </c>
      <c r="D1362" t="s">
        <v>34</v>
      </c>
      <c r="E1362" t="s">
        <v>40</v>
      </c>
      <c r="F1362" t="s">
        <v>57</v>
      </c>
      <c r="G1362" t="s">
        <v>37</v>
      </c>
      <c r="H1362">
        <v>1</v>
      </c>
      <c r="I1362">
        <v>0</v>
      </c>
      <c r="J1362">
        <v>0</v>
      </c>
      <c r="K1362">
        <v>0</v>
      </c>
      <c r="L1362">
        <v>0</v>
      </c>
      <c r="M1362">
        <v>0</v>
      </c>
      <c r="N1362">
        <v>0</v>
      </c>
      <c r="O1362">
        <v>0</v>
      </c>
      <c r="Q1362">
        <v>45.3</v>
      </c>
    </row>
    <row r="1363" spans="1:17">
      <c r="A1363" t="s">
        <v>1409</v>
      </c>
      <c r="B1363" s="8">
        <v>45800</v>
      </c>
      <c r="C1363" t="s">
        <v>2</v>
      </c>
      <c r="D1363" t="s">
        <v>44</v>
      </c>
      <c r="E1363" t="s">
        <v>40</v>
      </c>
      <c r="F1363" t="s">
        <v>41</v>
      </c>
      <c r="G1363" t="s">
        <v>37</v>
      </c>
      <c r="H1363">
        <v>1</v>
      </c>
      <c r="I1363">
        <v>0</v>
      </c>
      <c r="J1363">
        <v>0</v>
      </c>
      <c r="K1363">
        <v>0</v>
      </c>
      <c r="L1363">
        <v>0</v>
      </c>
      <c r="M1363">
        <v>0</v>
      </c>
      <c r="N1363">
        <v>0</v>
      </c>
      <c r="O1363">
        <v>0</v>
      </c>
      <c r="Q1363">
        <v>33.6</v>
      </c>
    </row>
    <row r="1364" spans="1:17">
      <c r="A1364" t="s">
        <v>1410</v>
      </c>
      <c r="B1364" s="8">
        <v>45728</v>
      </c>
      <c r="C1364" t="s">
        <v>2</v>
      </c>
      <c r="D1364" t="s">
        <v>48</v>
      </c>
      <c r="E1364" t="s">
        <v>40</v>
      </c>
      <c r="F1364" t="s">
        <v>45</v>
      </c>
      <c r="G1364" t="s">
        <v>46</v>
      </c>
      <c r="H1364">
        <v>1</v>
      </c>
      <c r="I1364">
        <v>1</v>
      </c>
      <c r="J1364">
        <v>1</v>
      </c>
      <c r="K1364">
        <v>0</v>
      </c>
      <c r="L1364">
        <v>0</v>
      </c>
      <c r="M1364">
        <v>0</v>
      </c>
      <c r="N1364">
        <v>0</v>
      </c>
      <c r="O1364">
        <v>0</v>
      </c>
      <c r="Q1364">
        <v>88.2</v>
      </c>
    </row>
    <row r="1365" spans="1:17">
      <c r="A1365" t="s">
        <v>1411</v>
      </c>
      <c r="B1365" s="8">
        <v>45705</v>
      </c>
      <c r="C1365" t="s">
        <v>2</v>
      </c>
      <c r="D1365" t="s">
        <v>34</v>
      </c>
      <c r="E1365" t="s">
        <v>40</v>
      </c>
      <c r="F1365" t="s">
        <v>41</v>
      </c>
      <c r="G1365" t="s">
        <v>46</v>
      </c>
      <c r="H1365">
        <v>1</v>
      </c>
      <c r="I1365">
        <v>0</v>
      </c>
      <c r="J1365">
        <v>0</v>
      </c>
      <c r="K1365">
        <v>0</v>
      </c>
      <c r="L1365">
        <v>0</v>
      </c>
      <c r="M1365">
        <v>0</v>
      </c>
      <c r="N1365">
        <v>0</v>
      </c>
      <c r="O1365">
        <v>0</v>
      </c>
      <c r="Q1365">
        <v>51.8</v>
      </c>
    </row>
    <row r="1366" spans="1:17">
      <c r="A1366" t="s">
        <v>1412</v>
      </c>
      <c r="B1366" s="8">
        <v>45804</v>
      </c>
      <c r="C1366" t="s">
        <v>2</v>
      </c>
      <c r="D1366" t="s">
        <v>34</v>
      </c>
      <c r="E1366" t="s">
        <v>35</v>
      </c>
      <c r="F1366" t="s">
        <v>41</v>
      </c>
      <c r="G1366" t="s">
        <v>37</v>
      </c>
      <c r="H1366">
        <v>0</v>
      </c>
      <c r="I1366">
        <v>0</v>
      </c>
      <c r="J1366">
        <v>0</v>
      </c>
      <c r="K1366">
        <v>0</v>
      </c>
      <c r="L1366">
        <v>0</v>
      </c>
      <c r="M1366">
        <v>0</v>
      </c>
      <c r="N1366">
        <v>0</v>
      </c>
      <c r="O1366">
        <v>0</v>
      </c>
      <c r="Q1366">
        <v>87.9</v>
      </c>
    </row>
    <row r="1367" spans="1:17">
      <c r="A1367" t="s">
        <v>1413</v>
      </c>
      <c r="B1367" s="8">
        <v>45787</v>
      </c>
      <c r="C1367" t="s">
        <v>2</v>
      </c>
      <c r="D1367" t="s">
        <v>48</v>
      </c>
      <c r="E1367" t="s">
        <v>40</v>
      </c>
      <c r="F1367" t="s">
        <v>57</v>
      </c>
      <c r="G1367" t="s">
        <v>46</v>
      </c>
      <c r="H1367">
        <v>1</v>
      </c>
      <c r="I1367">
        <v>0</v>
      </c>
      <c r="J1367">
        <v>0</v>
      </c>
      <c r="K1367">
        <v>0</v>
      </c>
      <c r="L1367">
        <v>0</v>
      </c>
      <c r="M1367">
        <v>2</v>
      </c>
      <c r="N1367">
        <v>1</v>
      </c>
      <c r="O1367">
        <v>0</v>
      </c>
      <c r="Q1367">
        <v>70.5</v>
      </c>
    </row>
    <row r="1368" spans="1:17">
      <c r="A1368" t="s">
        <v>1414</v>
      </c>
      <c r="B1368" s="8">
        <v>45677</v>
      </c>
      <c r="C1368" t="s">
        <v>2</v>
      </c>
      <c r="D1368" t="s">
        <v>34</v>
      </c>
      <c r="E1368" t="s">
        <v>40</v>
      </c>
      <c r="F1368" t="s">
        <v>41</v>
      </c>
      <c r="G1368" t="s">
        <v>37</v>
      </c>
      <c r="H1368">
        <v>1</v>
      </c>
      <c r="I1368">
        <v>1</v>
      </c>
      <c r="J1368">
        <v>0</v>
      </c>
      <c r="K1368">
        <v>0</v>
      </c>
      <c r="L1368">
        <v>0</v>
      </c>
      <c r="M1368">
        <v>2</v>
      </c>
      <c r="N1368">
        <v>1</v>
      </c>
      <c r="O1368">
        <v>0</v>
      </c>
      <c r="Q1368">
        <v>58.5</v>
      </c>
    </row>
    <row r="1369" spans="1:17">
      <c r="A1369" t="s">
        <v>1415</v>
      </c>
      <c r="B1369" s="8">
        <v>45676</v>
      </c>
      <c r="C1369" t="s">
        <v>2</v>
      </c>
      <c r="D1369" t="s">
        <v>44</v>
      </c>
      <c r="E1369" t="s">
        <v>40</v>
      </c>
      <c r="F1369" t="s">
        <v>55</v>
      </c>
      <c r="G1369" t="s">
        <v>42</v>
      </c>
      <c r="H1369">
        <v>1</v>
      </c>
      <c r="I1369">
        <v>0</v>
      </c>
      <c r="J1369">
        <v>0</v>
      </c>
      <c r="K1369">
        <v>0</v>
      </c>
      <c r="L1369">
        <v>0</v>
      </c>
      <c r="M1369">
        <v>0</v>
      </c>
      <c r="N1369">
        <v>0</v>
      </c>
      <c r="O1369">
        <v>0</v>
      </c>
      <c r="Q1369">
        <v>65.599999999999994</v>
      </c>
    </row>
    <row r="1370" spans="1:17">
      <c r="A1370" t="s">
        <v>1416</v>
      </c>
      <c r="B1370" s="8">
        <v>45723</v>
      </c>
      <c r="C1370" t="s">
        <v>2</v>
      </c>
      <c r="D1370" t="s">
        <v>39</v>
      </c>
      <c r="E1370" t="s">
        <v>35</v>
      </c>
      <c r="F1370" t="s">
        <v>45</v>
      </c>
      <c r="G1370" t="s">
        <v>37</v>
      </c>
      <c r="H1370">
        <v>1</v>
      </c>
      <c r="I1370">
        <v>1</v>
      </c>
      <c r="J1370">
        <v>0</v>
      </c>
      <c r="K1370">
        <v>0</v>
      </c>
      <c r="L1370">
        <v>0</v>
      </c>
      <c r="M1370">
        <v>0</v>
      </c>
      <c r="N1370">
        <v>0</v>
      </c>
      <c r="O1370">
        <v>0</v>
      </c>
      <c r="Q1370">
        <v>62.7</v>
      </c>
    </row>
    <row r="1371" spans="1:17">
      <c r="A1371" t="s">
        <v>1417</v>
      </c>
      <c r="B1371" s="8">
        <v>45690</v>
      </c>
      <c r="C1371" t="s">
        <v>2</v>
      </c>
      <c r="D1371" t="s">
        <v>44</v>
      </c>
      <c r="E1371" t="s">
        <v>40</v>
      </c>
      <c r="F1371" t="s">
        <v>41</v>
      </c>
      <c r="G1371" t="s">
        <v>42</v>
      </c>
      <c r="H1371">
        <v>0</v>
      </c>
      <c r="I1371">
        <v>0</v>
      </c>
      <c r="J1371">
        <v>0</v>
      </c>
      <c r="K1371">
        <v>0</v>
      </c>
      <c r="L1371">
        <v>0</v>
      </c>
      <c r="M1371">
        <v>1</v>
      </c>
      <c r="N1371">
        <v>1</v>
      </c>
      <c r="O1371">
        <v>0</v>
      </c>
      <c r="Q1371">
        <v>50.9</v>
      </c>
    </row>
    <row r="1372" spans="1:17">
      <c r="A1372" t="s">
        <v>1418</v>
      </c>
      <c r="B1372" s="8">
        <v>45723</v>
      </c>
      <c r="C1372" t="s">
        <v>2</v>
      </c>
      <c r="D1372" t="s">
        <v>34</v>
      </c>
      <c r="E1372" t="s">
        <v>40</v>
      </c>
      <c r="F1372" t="s">
        <v>41</v>
      </c>
      <c r="G1372" t="s">
        <v>42</v>
      </c>
      <c r="H1372">
        <v>0</v>
      </c>
      <c r="I1372">
        <v>0</v>
      </c>
      <c r="J1372">
        <v>0</v>
      </c>
      <c r="K1372">
        <v>0</v>
      </c>
      <c r="L1372">
        <v>0</v>
      </c>
      <c r="M1372">
        <v>1</v>
      </c>
      <c r="N1372">
        <v>1</v>
      </c>
      <c r="O1372">
        <v>0</v>
      </c>
      <c r="Q1372">
        <v>60.6</v>
      </c>
    </row>
    <row r="1373" spans="1:17">
      <c r="A1373" t="s">
        <v>1419</v>
      </c>
      <c r="B1373" s="8">
        <v>45746</v>
      </c>
      <c r="C1373" t="s">
        <v>2</v>
      </c>
      <c r="D1373" t="s">
        <v>44</v>
      </c>
      <c r="E1373" t="s">
        <v>35</v>
      </c>
      <c r="F1373" t="s">
        <v>41</v>
      </c>
      <c r="G1373" t="s">
        <v>42</v>
      </c>
      <c r="H1373">
        <v>1</v>
      </c>
      <c r="I1373">
        <v>1</v>
      </c>
      <c r="J1373">
        <v>1</v>
      </c>
      <c r="K1373">
        <v>0</v>
      </c>
      <c r="L1373">
        <v>0</v>
      </c>
      <c r="M1373">
        <v>0</v>
      </c>
      <c r="N1373">
        <v>0</v>
      </c>
      <c r="O1373">
        <v>0</v>
      </c>
      <c r="Q1373">
        <v>76.599999999999994</v>
      </c>
    </row>
    <row r="1374" spans="1:17">
      <c r="A1374" t="s">
        <v>1420</v>
      </c>
      <c r="B1374" s="8">
        <v>45782</v>
      </c>
      <c r="C1374" t="s">
        <v>2</v>
      </c>
      <c r="D1374" t="s">
        <v>44</v>
      </c>
      <c r="E1374" t="s">
        <v>35</v>
      </c>
      <c r="F1374" t="s">
        <v>45</v>
      </c>
      <c r="G1374" t="s">
        <v>42</v>
      </c>
      <c r="H1374">
        <v>1</v>
      </c>
      <c r="I1374">
        <v>1</v>
      </c>
      <c r="J1374">
        <v>1</v>
      </c>
      <c r="K1374">
        <v>0</v>
      </c>
      <c r="L1374">
        <v>0</v>
      </c>
      <c r="M1374">
        <v>0</v>
      </c>
      <c r="N1374">
        <v>0</v>
      </c>
      <c r="O1374">
        <v>0</v>
      </c>
      <c r="Q1374">
        <v>54.4</v>
      </c>
    </row>
    <row r="1375" spans="1:17">
      <c r="A1375" t="s">
        <v>1421</v>
      </c>
      <c r="B1375" s="8">
        <v>45758</v>
      </c>
      <c r="C1375" t="s">
        <v>2</v>
      </c>
      <c r="D1375" t="s">
        <v>48</v>
      </c>
      <c r="E1375" t="s">
        <v>40</v>
      </c>
      <c r="F1375" t="s">
        <v>57</v>
      </c>
      <c r="G1375" t="s">
        <v>42</v>
      </c>
      <c r="H1375">
        <v>1</v>
      </c>
      <c r="I1375">
        <v>0</v>
      </c>
      <c r="J1375">
        <v>0</v>
      </c>
      <c r="K1375">
        <v>0</v>
      </c>
      <c r="L1375">
        <v>0</v>
      </c>
      <c r="M1375">
        <v>0</v>
      </c>
      <c r="N1375">
        <v>0</v>
      </c>
      <c r="O1375">
        <v>0</v>
      </c>
      <c r="Q1375">
        <v>31.2</v>
      </c>
    </row>
    <row r="1376" spans="1:17">
      <c r="A1376" t="s">
        <v>1422</v>
      </c>
      <c r="B1376" s="8">
        <v>45741</v>
      </c>
      <c r="C1376" t="s">
        <v>2</v>
      </c>
      <c r="D1376" t="s">
        <v>39</v>
      </c>
      <c r="E1376" t="s">
        <v>35</v>
      </c>
      <c r="F1376" t="s">
        <v>36</v>
      </c>
      <c r="G1376" t="s">
        <v>46</v>
      </c>
      <c r="H1376">
        <v>1</v>
      </c>
      <c r="I1376">
        <v>0</v>
      </c>
      <c r="J1376">
        <v>0</v>
      </c>
      <c r="K1376">
        <v>0</v>
      </c>
      <c r="L1376">
        <v>0</v>
      </c>
      <c r="M1376">
        <v>0</v>
      </c>
      <c r="N1376">
        <v>0</v>
      </c>
      <c r="O1376">
        <v>0</v>
      </c>
      <c r="Q1376">
        <v>72.400000000000006</v>
      </c>
    </row>
    <row r="1377" spans="1:17">
      <c r="A1377" t="s">
        <v>1423</v>
      </c>
      <c r="B1377" s="8">
        <v>45740</v>
      </c>
      <c r="C1377" t="s">
        <v>2</v>
      </c>
      <c r="D1377" t="s">
        <v>34</v>
      </c>
      <c r="E1377" t="s">
        <v>40</v>
      </c>
      <c r="F1377" t="s">
        <v>41</v>
      </c>
      <c r="G1377" t="s">
        <v>46</v>
      </c>
      <c r="H1377">
        <v>1</v>
      </c>
      <c r="I1377">
        <v>0</v>
      </c>
      <c r="J1377">
        <v>0</v>
      </c>
      <c r="K1377">
        <v>0</v>
      </c>
      <c r="L1377">
        <v>0</v>
      </c>
      <c r="M1377">
        <v>0</v>
      </c>
      <c r="N1377">
        <v>0</v>
      </c>
      <c r="O1377">
        <v>0</v>
      </c>
      <c r="Q1377">
        <v>74.5</v>
      </c>
    </row>
    <row r="1378" spans="1:17">
      <c r="A1378" t="s">
        <v>1424</v>
      </c>
      <c r="B1378" s="8">
        <v>45774</v>
      </c>
      <c r="C1378" t="s">
        <v>2</v>
      </c>
      <c r="D1378" t="s">
        <v>44</v>
      </c>
      <c r="E1378" t="s">
        <v>40</v>
      </c>
      <c r="F1378" t="s">
        <v>41</v>
      </c>
      <c r="G1378" t="s">
        <v>37</v>
      </c>
      <c r="H1378">
        <v>0</v>
      </c>
      <c r="I1378">
        <v>0</v>
      </c>
      <c r="J1378">
        <v>0</v>
      </c>
      <c r="K1378">
        <v>0</v>
      </c>
      <c r="L1378">
        <v>0</v>
      </c>
      <c r="M1378">
        <v>0</v>
      </c>
      <c r="N1378">
        <v>0</v>
      </c>
      <c r="O1378">
        <v>0</v>
      </c>
      <c r="Q1378">
        <v>52.6</v>
      </c>
    </row>
    <row r="1379" spans="1:17">
      <c r="A1379" t="s">
        <v>1425</v>
      </c>
      <c r="B1379" s="8">
        <v>45682</v>
      </c>
      <c r="C1379" t="s">
        <v>2</v>
      </c>
      <c r="D1379" t="s">
        <v>34</v>
      </c>
      <c r="E1379" t="s">
        <v>35</v>
      </c>
      <c r="F1379" t="s">
        <v>45</v>
      </c>
      <c r="G1379" t="s">
        <v>42</v>
      </c>
      <c r="H1379">
        <v>1</v>
      </c>
      <c r="I1379">
        <v>0</v>
      </c>
      <c r="J1379">
        <v>0</v>
      </c>
      <c r="K1379">
        <v>0</v>
      </c>
      <c r="L1379">
        <v>0</v>
      </c>
      <c r="M1379">
        <v>0</v>
      </c>
      <c r="N1379">
        <v>0</v>
      </c>
      <c r="O1379">
        <v>0</v>
      </c>
      <c r="Q1379">
        <v>75.400000000000006</v>
      </c>
    </row>
    <row r="1380" spans="1:17">
      <c r="A1380" t="s">
        <v>1426</v>
      </c>
      <c r="B1380" s="8">
        <v>45705</v>
      </c>
      <c r="C1380" t="s">
        <v>2</v>
      </c>
      <c r="D1380" t="s">
        <v>34</v>
      </c>
      <c r="E1380" t="s">
        <v>50</v>
      </c>
      <c r="F1380" t="s">
        <v>57</v>
      </c>
      <c r="G1380" t="s">
        <v>37</v>
      </c>
      <c r="H1380">
        <v>1</v>
      </c>
      <c r="I1380">
        <v>1</v>
      </c>
      <c r="J1380">
        <v>1</v>
      </c>
      <c r="K1380">
        <v>1</v>
      </c>
      <c r="L1380">
        <v>751.33</v>
      </c>
      <c r="M1380">
        <v>0</v>
      </c>
      <c r="N1380">
        <v>0</v>
      </c>
      <c r="O1380">
        <v>0</v>
      </c>
      <c r="P1380">
        <v>9</v>
      </c>
      <c r="Q1380">
        <v>34</v>
      </c>
    </row>
    <row r="1381" spans="1:17">
      <c r="A1381" t="s">
        <v>1427</v>
      </c>
      <c r="B1381" s="8">
        <v>45760</v>
      </c>
      <c r="C1381" t="s">
        <v>2</v>
      </c>
      <c r="D1381" t="s">
        <v>48</v>
      </c>
      <c r="E1381" t="s">
        <v>35</v>
      </c>
      <c r="F1381" t="s">
        <v>41</v>
      </c>
      <c r="G1381" t="s">
        <v>42</v>
      </c>
      <c r="H1381">
        <v>1</v>
      </c>
      <c r="I1381">
        <v>0</v>
      </c>
      <c r="J1381">
        <v>0</v>
      </c>
      <c r="K1381">
        <v>0</v>
      </c>
      <c r="L1381">
        <v>0</v>
      </c>
      <c r="M1381">
        <v>0</v>
      </c>
      <c r="N1381">
        <v>0</v>
      </c>
      <c r="O1381">
        <v>0</v>
      </c>
      <c r="Q1381">
        <v>67.099999999999994</v>
      </c>
    </row>
    <row r="1382" spans="1:17">
      <c r="A1382" t="s">
        <v>1428</v>
      </c>
      <c r="B1382" s="8">
        <v>45780</v>
      </c>
      <c r="C1382" t="s">
        <v>2</v>
      </c>
      <c r="D1382" t="s">
        <v>39</v>
      </c>
      <c r="E1382" t="s">
        <v>35</v>
      </c>
      <c r="F1382" t="s">
        <v>45</v>
      </c>
      <c r="G1382" t="s">
        <v>46</v>
      </c>
      <c r="H1382">
        <v>1</v>
      </c>
      <c r="I1382">
        <v>0</v>
      </c>
      <c r="J1382">
        <v>0</v>
      </c>
      <c r="K1382">
        <v>0</v>
      </c>
      <c r="L1382">
        <v>0</v>
      </c>
      <c r="M1382">
        <v>0</v>
      </c>
      <c r="N1382">
        <v>0</v>
      </c>
      <c r="O1382">
        <v>0</v>
      </c>
      <c r="Q1382">
        <v>37.299999999999997</v>
      </c>
    </row>
    <row r="1383" spans="1:17">
      <c r="A1383" t="s">
        <v>1429</v>
      </c>
      <c r="B1383" s="8">
        <v>45776</v>
      </c>
      <c r="C1383" t="s">
        <v>2</v>
      </c>
      <c r="D1383" t="s">
        <v>39</v>
      </c>
      <c r="E1383" t="s">
        <v>40</v>
      </c>
      <c r="F1383" t="s">
        <v>36</v>
      </c>
      <c r="G1383" t="s">
        <v>42</v>
      </c>
      <c r="H1383">
        <v>1</v>
      </c>
      <c r="I1383">
        <v>0</v>
      </c>
      <c r="J1383">
        <v>0</v>
      </c>
      <c r="K1383">
        <v>0</v>
      </c>
      <c r="L1383">
        <v>0</v>
      </c>
      <c r="M1383">
        <v>0</v>
      </c>
      <c r="N1383">
        <v>0</v>
      </c>
      <c r="O1383">
        <v>0</v>
      </c>
      <c r="Q1383">
        <v>54.7</v>
      </c>
    </row>
    <row r="1384" spans="1:17">
      <c r="A1384" t="s">
        <v>1430</v>
      </c>
      <c r="B1384" s="8">
        <v>45780</v>
      </c>
      <c r="C1384" t="s">
        <v>2</v>
      </c>
      <c r="D1384" t="s">
        <v>44</v>
      </c>
      <c r="E1384" t="s">
        <v>35</v>
      </c>
      <c r="F1384" t="s">
        <v>45</v>
      </c>
      <c r="G1384" t="s">
        <v>42</v>
      </c>
      <c r="H1384">
        <v>1</v>
      </c>
      <c r="I1384">
        <v>0</v>
      </c>
      <c r="J1384">
        <v>0</v>
      </c>
      <c r="K1384">
        <v>0</v>
      </c>
      <c r="L1384">
        <v>0</v>
      </c>
      <c r="M1384">
        <v>0</v>
      </c>
      <c r="N1384">
        <v>0</v>
      </c>
      <c r="O1384">
        <v>0</v>
      </c>
      <c r="Q1384">
        <v>51.8</v>
      </c>
    </row>
    <row r="1385" spans="1:17">
      <c r="A1385" t="s">
        <v>1431</v>
      </c>
      <c r="B1385" s="8">
        <v>45775</v>
      </c>
      <c r="C1385" t="s">
        <v>2</v>
      </c>
      <c r="D1385" t="s">
        <v>39</v>
      </c>
      <c r="E1385" t="s">
        <v>40</v>
      </c>
      <c r="F1385" t="s">
        <v>45</v>
      </c>
      <c r="G1385" t="s">
        <v>42</v>
      </c>
      <c r="H1385">
        <v>0</v>
      </c>
      <c r="I1385">
        <v>0</v>
      </c>
      <c r="J1385">
        <v>0</v>
      </c>
      <c r="K1385">
        <v>0</v>
      </c>
      <c r="L1385">
        <v>0</v>
      </c>
      <c r="M1385">
        <v>0</v>
      </c>
      <c r="N1385">
        <v>0</v>
      </c>
      <c r="O1385">
        <v>0</v>
      </c>
      <c r="Q1385">
        <v>49.2</v>
      </c>
    </row>
    <row r="1386" spans="1:17">
      <c r="A1386" t="s">
        <v>1432</v>
      </c>
      <c r="B1386" s="8">
        <v>45678</v>
      </c>
      <c r="C1386" t="s">
        <v>2</v>
      </c>
      <c r="D1386" t="s">
        <v>39</v>
      </c>
      <c r="E1386" t="s">
        <v>40</v>
      </c>
      <c r="F1386" t="s">
        <v>41</v>
      </c>
      <c r="G1386" t="s">
        <v>42</v>
      </c>
      <c r="H1386">
        <v>1</v>
      </c>
      <c r="I1386">
        <v>0</v>
      </c>
      <c r="J1386">
        <v>0</v>
      </c>
      <c r="K1386">
        <v>0</v>
      </c>
      <c r="L1386">
        <v>0</v>
      </c>
      <c r="M1386">
        <v>2</v>
      </c>
      <c r="N1386">
        <v>1</v>
      </c>
      <c r="O1386">
        <v>0</v>
      </c>
      <c r="Q1386">
        <v>58.8</v>
      </c>
    </row>
    <row r="1387" spans="1:17">
      <c r="A1387" t="s">
        <v>1433</v>
      </c>
      <c r="B1387" s="8">
        <v>45678</v>
      </c>
      <c r="C1387" t="s">
        <v>2</v>
      </c>
      <c r="D1387" t="s">
        <v>34</v>
      </c>
      <c r="E1387" t="s">
        <v>50</v>
      </c>
      <c r="F1387" t="s">
        <v>45</v>
      </c>
      <c r="G1387" t="s">
        <v>37</v>
      </c>
      <c r="H1387">
        <v>0</v>
      </c>
      <c r="I1387">
        <v>0</v>
      </c>
      <c r="J1387">
        <v>0</v>
      </c>
      <c r="K1387">
        <v>0</v>
      </c>
      <c r="L1387">
        <v>0</v>
      </c>
      <c r="M1387">
        <v>1</v>
      </c>
      <c r="N1387">
        <v>1</v>
      </c>
      <c r="O1387">
        <v>0</v>
      </c>
      <c r="Q1387">
        <v>59.1</v>
      </c>
    </row>
    <row r="1388" spans="1:17">
      <c r="A1388" t="s">
        <v>1434</v>
      </c>
      <c r="B1388" s="8">
        <v>45798</v>
      </c>
      <c r="C1388" t="s">
        <v>2</v>
      </c>
      <c r="D1388" t="s">
        <v>39</v>
      </c>
      <c r="E1388" t="s">
        <v>35</v>
      </c>
      <c r="F1388" t="s">
        <v>45</v>
      </c>
      <c r="G1388" t="s">
        <v>42</v>
      </c>
      <c r="H1388">
        <v>1</v>
      </c>
      <c r="I1388">
        <v>0</v>
      </c>
      <c r="J1388">
        <v>0</v>
      </c>
      <c r="K1388">
        <v>0</v>
      </c>
      <c r="L1388">
        <v>0</v>
      </c>
      <c r="M1388">
        <v>2</v>
      </c>
      <c r="N1388">
        <v>1</v>
      </c>
      <c r="O1388">
        <v>0</v>
      </c>
      <c r="Q1388">
        <v>49.6</v>
      </c>
    </row>
    <row r="1389" spans="1:17">
      <c r="A1389" t="s">
        <v>1435</v>
      </c>
      <c r="B1389" s="8">
        <v>45662</v>
      </c>
      <c r="C1389" t="s">
        <v>2</v>
      </c>
      <c r="D1389" t="s">
        <v>34</v>
      </c>
      <c r="E1389" t="s">
        <v>40</v>
      </c>
      <c r="F1389" t="s">
        <v>55</v>
      </c>
      <c r="G1389" t="s">
        <v>42</v>
      </c>
      <c r="H1389">
        <v>0</v>
      </c>
      <c r="I1389">
        <v>0</v>
      </c>
      <c r="J1389">
        <v>0</v>
      </c>
      <c r="K1389">
        <v>0</v>
      </c>
      <c r="L1389">
        <v>0</v>
      </c>
      <c r="M1389">
        <v>0</v>
      </c>
      <c r="N1389">
        <v>0</v>
      </c>
      <c r="O1389">
        <v>0</v>
      </c>
      <c r="Q1389">
        <v>58.2</v>
      </c>
    </row>
    <row r="1390" spans="1:17">
      <c r="A1390" t="s">
        <v>1436</v>
      </c>
      <c r="B1390" s="8">
        <v>45722</v>
      </c>
      <c r="C1390" t="s">
        <v>2</v>
      </c>
      <c r="D1390" t="s">
        <v>48</v>
      </c>
      <c r="E1390" t="s">
        <v>35</v>
      </c>
      <c r="F1390" t="s">
        <v>41</v>
      </c>
      <c r="G1390" t="s">
        <v>42</v>
      </c>
      <c r="H1390">
        <v>1</v>
      </c>
      <c r="I1390">
        <v>0</v>
      </c>
      <c r="J1390">
        <v>0</v>
      </c>
      <c r="K1390">
        <v>0</v>
      </c>
      <c r="L1390">
        <v>0</v>
      </c>
      <c r="M1390">
        <v>0</v>
      </c>
      <c r="N1390">
        <v>0</v>
      </c>
      <c r="O1390">
        <v>0</v>
      </c>
      <c r="Q1390">
        <v>66.8</v>
      </c>
    </row>
    <row r="1391" spans="1:17">
      <c r="A1391" t="s">
        <v>1437</v>
      </c>
      <c r="B1391" s="8">
        <v>45765</v>
      </c>
      <c r="C1391" t="s">
        <v>2</v>
      </c>
      <c r="D1391" t="s">
        <v>34</v>
      </c>
      <c r="E1391" t="s">
        <v>40</v>
      </c>
      <c r="F1391" t="s">
        <v>45</v>
      </c>
      <c r="G1391" t="s">
        <v>42</v>
      </c>
      <c r="H1391">
        <v>1</v>
      </c>
      <c r="I1391">
        <v>0</v>
      </c>
      <c r="J1391">
        <v>0</v>
      </c>
      <c r="K1391">
        <v>0</v>
      </c>
      <c r="L1391">
        <v>0</v>
      </c>
      <c r="M1391">
        <v>3</v>
      </c>
      <c r="N1391">
        <v>1</v>
      </c>
      <c r="O1391">
        <v>0</v>
      </c>
      <c r="Q1391">
        <v>58.3</v>
      </c>
    </row>
    <row r="1392" spans="1:17">
      <c r="A1392" t="s">
        <v>1438</v>
      </c>
      <c r="B1392" s="8">
        <v>45762</v>
      </c>
      <c r="C1392" t="s">
        <v>2</v>
      </c>
      <c r="D1392" t="s">
        <v>39</v>
      </c>
      <c r="E1392" t="s">
        <v>40</v>
      </c>
      <c r="F1392" t="s">
        <v>41</v>
      </c>
      <c r="G1392" t="s">
        <v>37</v>
      </c>
      <c r="H1392">
        <v>1</v>
      </c>
      <c r="I1392">
        <v>1</v>
      </c>
      <c r="J1392">
        <v>1</v>
      </c>
      <c r="K1392">
        <v>0</v>
      </c>
      <c r="L1392">
        <v>0</v>
      </c>
      <c r="M1392">
        <v>0</v>
      </c>
      <c r="N1392">
        <v>0</v>
      </c>
      <c r="O1392">
        <v>0</v>
      </c>
      <c r="Q1392">
        <v>38.5</v>
      </c>
    </row>
    <row r="1393" spans="1:17">
      <c r="A1393" t="s">
        <v>1439</v>
      </c>
      <c r="B1393" s="8">
        <v>45698</v>
      </c>
      <c r="C1393" t="s">
        <v>2</v>
      </c>
      <c r="D1393" t="s">
        <v>44</v>
      </c>
      <c r="E1393" t="s">
        <v>40</v>
      </c>
      <c r="F1393" t="s">
        <v>45</v>
      </c>
      <c r="G1393" t="s">
        <v>42</v>
      </c>
      <c r="H1393">
        <v>1</v>
      </c>
      <c r="I1393">
        <v>0</v>
      </c>
      <c r="J1393">
        <v>0</v>
      </c>
      <c r="K1393">
        <v>0</v>
      </c>
      <c r="L1393">
        <v>0</v>
      </c>
      <c r="M1393">
        <v>0</v>
      </c>
      <c r="N1393">
        <v>0</v>
      </c>
      <c r="O1393">
        <v>0</v>
      </c>
      <c r="Q1393">
        <v>76.900000000000006</v>
      </c>
    </row>
    <row r="1394" spans="1:17">
      <c r="A1394" t="s">
        <v>1440</v>
      </c>
      <c r="B1394" s="8">
        <v>45785</v>
      </c>
      <c r="C1394" t="s">
        <v>2</v>
      </c>
      <c r="D1394" t="s">
        <v>44</v>
      </c>
      <c r="E1394" t="s">
        <v>40</v>
      </c>
      <c r="F1394" t="s">
        <v>41</v>
      </c>
      <c r="G1394" t="s">
        <v>42</v>
      </c>
      <c r="H1394">
        <v>1</v>
      </c>
      <c r="I1394">
        <v>0</v>
      </c>
      <c r="J1394">
        <v>0</v>
      </c>
      <c r="K1394">
        <v>0</v>
      </c>
      <c r="L1394">
        <v>0</v>
      </c>
      <c r="M1394">
        <v>0</v>
      </c>
      <c r="N1394">
        <v>0</v>
      </c>
      <c r="O1394">
        <v>0</v>
      </c>
      <c r="Q1394">
        <v>54</v>
      </c>
    </row>
    <row r="1395" spans="1:17">
      <c r="A1395" t="s">
        <v>1441</v>
      </c>
      <c r="B1395" s="8">
        <v>45805</v>
      </c>
      <c r="C1395" t="s">
        <v>2</v>
      </c>
      <c r="D1395" t="s">
        <v>44</v>
      </c>
      <c r="E1395" t="s">
        <v>50</v>
      </c>
      <c r="F1395" t="s">
        <v>41</v>
      </c>
      <c r="G1395" t="s">
        <v>42</v>
      </c>
      <c r="H1395">
        <v>1</v>
      </c>
      <c r="I1395">
        <v>0</v>
      </c>
      <c r="J1395">
        <v>0</v>
      </c>
      <c r="K1395">
        <v>0</v>
      </c>
      <c r="L1395">
        <v>0</v>
      </c>
      <c r="M1395">
        <v>0</v>
      </c>
      <c r="N1395">
        <v>0</v>
      </c>
      <c r="O1395">
        <v>0</v>
      </c>
      <c r="Q1395">
        <v>70.599999999999994</v>
      </c>
    </row>
    <row r="1396" spans="1:17">
      <c r="A1396" t="s">
        <v>1442</v>
      </c>
      <c r="B1396" s="8">
        <v>45772</v>
      </c>
      <c r="C1396" t="s">
        <v>2</v>
      </c>
      <c r="D1396" t="s">
        <v>34</v>
      </c>
      <c r="E1396" t="s">
        <v>50</v>
      </c>
      <c r="F1396" t="s">
        <v>55</v>
      </c>
      <c r="G1396" t="s">
        <v>46</v>
      </c>
      <c r="H1396">
        <v>1</v>
      </c>
      <c r="I1396">
        <v>1</v>
      </c>
      <c r="J1396">
        <v>1</v>
      </c>
      <c r="K1396">
        <v>0</v>
      </c>
      <c r="L1396">
        <v>0</v>
      </c>
      <c r="M1396">
        <v>1</v>
      </c>
      <c r="N1396">
        <v>1</v>
      </c>
      <c r="O1396">
        <v>0</v>
      </c>
      <c r="Q1396">
        <v>69.400000000000006</v>
      </c>
    </row>
    <row r="1397" spans="1:17">
      <c r="A1397" t="s">
        <v>1443</v>
      </c>
      <c r="B1397" s="8">
        <v>45699</v>
      </c>
      <c r="C1397" t="s">
        <v>2</v>
      </c>
      <c r="D1397" t="s">
        <v>48</v>
      </c>
      <c r="E1397" t="s">
        <v>40</v>
      </c>
      <c r="G1397" t="s">
        <v>46</v>
      </c>
      <c r="H1397">
        <v>1</v>
      </c>
      <c r="I1397">
        <v>1</v>
      </c>
      <c r="J1397">
        <v>1</v>
      </c>
      <c r="K1397">
        <v>1</v>
      </c>
      <c r="L1397">
        <v>1009.9</v>
      </c>
      <c r="M1397">
        <v>0</v>
      </c>
      <c r="N1397">
        <v>0</v>
      </c>
      <c r="O1397">
        <v>0</v>
      </c>
      <c r="P1397">
        <v>6</v>
      </c>
      <c r="Q1397">
        <v>89.7</v>
      </c>
    </row>
    <row r="1398" spans="1:17">
      <c r="A1398" t="s">
        <v>1444</v>
      </c>
      <c r="B1398" s="8">
        <v>45761</v>
      </c>
      <c r="C1398" t="s">
        <v>2</v>
      </c>
      <c r="D1398" t="s">
        <v>39</v>
      </c>
      <c r="E1398" t="s">
        <v>40</v>
      </c>
      <c r="F1398" t="s">
        <v>41</v>
      </c>
      <c r="G1398" t="s">
        <v>42</v>
      </c>
      <c r="H1398">
        <v>1</v>
      </c>
      <c r="I1398">
        <v>0</v>
      </c>
      <c r="J1398">
        <v>0</v>
      </c>
      <c r="K1398">
        <v>0</v>
      </c>
      <c r="L1398">
        <v>0</v>
      </c>
      <c r="M1398">
        <v>0</v>
      </c>
      <c r="N1398">
        <v>0</v>
      </c>
      <c r="O1398">
        <v>0</v>
      </c>
      <c r="Q1398">
        <v>62.4</v>
      </c>
    </row>
    <row r="1399" spans="1:17">
      <c r="A1399" t="s">
        <v>1445</v>
      </c>
      <c r="B1399" s="8">
        <v>45692</v>
      </c>
      <c r="C1399" t="s">
        <v>2</v>
      </c>
      <c r="D1399" t="s">
        <v>39</v>
      </c>
      <c r="E1399" t="s">
        <v>50</v>
      </c>
      <c r="F1399" t="s">
        <v>41</v>
      </c>
      <c r="G1399" t="s">
        <v>46</v>
      </c>
      <c r="H1399">
        <v>0</v>
      </c>
      <c r="I1399">
        <v>0</v>
      </c>
      <c r="J1399">
        <v>0</v>
      </c>
      <c r="K1399">
        <v>0</v>
      </c>
      <c r="L1399">
        <v>0</v>
      </c>
      <c r="M1399">
        <v>0</v>
      </c>
      <c r="N1399">
        <v>0</v>
      </c>
      <c r="O1399">
        <v>0</v>
      </c>
      <c r="Q1399">
        <v>67.3</v>
      </c>
    </row>
    <row r="1400" spans="1:17">
      <c r="A1400" t="s">
        <v>1446</v>
      </c>
      <c r="B1400" s="8">
        <v>45738</v>
      </c>
      <c r="C1400" t="s">
        <v>2</v>
      </c>
      <c r="D1400" t="s">
        <v>44</v>
      </c>
      <c r="E1400" t="s">
        <v>40</v>
      </c>
      <c r="F1400" t="s">
        <v>55</v>
      </c>
      <c r="G1400" t="s">
        <v>42</v>
      </c>
      <c r="H1400">
        <v>1</v>
      </c>
      <c r="I1400">
        <v>0</v>
      </c>
      <c r="J1400">
        <v>0</v>
      </c>
      <c r="K1400">
        <v>0</v>
      </c>
      <c r="L1400">
        <v>0</v>
      </c>
      <c r="M1400">
        <v>0</v>
      </c>
      <c r="N1400">
        <v>0</v>
      </c>
      <c r="O1400">
        <v>0</v>
      </c>
      <c r="Q1400">
        <v>54.9</v>
      </c>
    </row>
    <row r="1401" spans="1:17">
      <c r="A1401" t="s">
        <v>1447</v>
      </c>
      <c r="B1401" s="8">
        <v>45765</v>
      </c>
      <c r="C1401" t="s">
        <v>2</v>
      </c>
      <c r="D1401" t="s">
        <v>44</v>
      </c>
      <c r="E1401" t="s">
        <v>35</v>
      </c>
      <c r="F1401" t="s">
        <v>57</v>
      </c>
      <c r="G1401" t="s">
        <v>42</v>
      </c>
      <c r="H1401">
        <v>0</v>
      </c>
      <c r="I1401">
        <v>0</v>
      </c>
      <c r="J1401">
        <v>0</v>
      </c>
      <c r="K1401">
        <v>0</v>
      </c>
      <c r="L1401">
        <v>0</v>
      </c>
      <c r="M1401">
        <v>0</v>
      </c>
      <c r="N1401">
        <v>0</v>
      </c>
      <c r="O1401">
        <v>0</v>
      </c>
      <c r="Q1401">
        <v>55.7</v>
      </c>
    </row>
    <row r="1402" spans="1:17">
      <c r="A1402" t="s">
        <v>964</v>
      </c>
      <c r="B1402" s="8">
        <v>45711</v>
      </c>
      <c r="C1402" t="s">
        <v>2</v>
      </c>
      <c r="D1402" t="s">
        <v>39</v>
      </c>
      <c r="E1402" t="s">
        <v>35</v>
      </c>
      <c r="F1402" t="s">
        <v>57</v>
      </c>
      <c r="G1402" t="s">
        <v>37</v>
      </c>
      <c r="H1402">
        <v>1</v>
      </c>
      <c r="I1402">
        <v>1</v>
      </c>
      <c r="J1402">
        <v>1</v>
      </c>
      <c r="K1402">
        <v>0</v>
      </c>
      <c r="L1402">
        <v>0</v>
      </c>
      <c r="M1402">
        <v>0</v>
      </c>
      <c r="N1402">
        <v>0</v>
      </c>
      <c r="O1402">
        <v>0</v>
      </c>
      <c r="Q1402">
        <v>70.599999999999994</v>
      </c>
    </row>
    <row r="1403" spans="1:17">
      <c r="A1403" t="s">
        <v>480</v>
      </c>
      <c r="B1403" s="8">
        <v>45691</v>
      </c>
      <c r="C1403" t="s">
        <v>1</v>
      </c>
      <c r="D1403" t="s">
        <v>34</v>
      </c>
      <c r="E1403" t="s">
        <v>50</v>
      </c>
      <c r="F1403" t="s">
        <v>36</v>
      </c>
      <c r="G1403" t="s">
        <v>37</v>
      </c>
      <c r="H1403">
        <v>1</v>
      </c>
      <c r="I1403">
        <v>0</v>
      </c>
      <c r="J1403">
        <v>0</v>
      </c>
      <c r="K1403">
        <v>0</v>
      </c>
      <c r="L1403">
        <v>0</v>
      </c>
      <c r="M1403">
        <v>0</v>
      </c>
      <c r="N1403">
        <v>0</v>
      </c>
      <c r="O1403">
        <v>0</v>
      </c>
      <c r="Q1403">
        <v>60.9</v>
      </c>
    </row>
    <row r="1404" spans="1:17">
      <c r="A1404" t="s">
        <v>1409</v>
      </c>
      <c r="B1404" s="8">
        <v>45800</v>
      </c>
      <c r="C1404" t="s">
        <v>2</v>
      </c>
      <c r="D1404" t="s">
        <v>44</v>
      </c>
      <c r="E1404" t="s">
        <v>40</v>
      </c>
      <c r="F1404" t="s">
        <v>41</v>
      </c>
      <c r="G1404" t="s">
        <v>37</v>
      </c>
      <c r="H1404">
        <v>1</v>
      </c>
      <c r="I1404">
        <v>0</v>
      </c>
      <c r="J1404">
        <v>0</v>
      </c>
      <c r="K1404">
        <v>0</v>
      </c>
      <c r="L1404">
        <v>0</v>
      </c>
      <c r="M1404">
        <v>0</v>
      </c>
      <c r="N1404">
        <v>0</v>
      </c>
      <c r="O1404">
        <v>0</v>
      </c>
      <c r="Q1404">
        <v>33.6</v>
      </c>
    </row>
    <row r="1405" spans="1:17">
      <c r="A1405" t="s">
        <v>143</v>
      </c>
      <c r="B1405" s="8">
        <v>45693</v>
      </c>
      <c r="C1405" t="s">
        <v>1</v>
      </c>
      <c r="D1405" t="s">
        <v>44</v>
      </c>
      <c r="E1405" t="s">
        <v>40</v>
      </c>
      <c r="F1405" t="s">
        <v>57</v>
      </c>
      <c r="G1405" t="s">
        <v>42</v>
      </c>
      <c r="H1405">
        <v>0</v>
      </c>
      <c r="I1405">
        <v>0</v>
      </c>
      <c r="J1405">
        <v>0</v>
      </c>
      <c r="K1405">
        <v>0</v>
      </c>
      <c r="L1405">
        <v>0</v>
      </c>
      <c r="M1405">
        <v>0</v>
      </c>
      <c r="N1405">
        <v>0</v>
      </c>
      <c r="O1405">
        <v>0</v>
      </c>
      <c r="Q1405">
        <v>68</v>
      </c>
    </row>
    <row r="1406" spans="1:17">
      <c r="A1406" t="s">
        <v>1257</v>
      </c>
      <c r="B1406" s="8">
        <v>45712</v>
      </c>
      <c r="C1406" t="s">
        <v>2</v>
      </c>
      <c r="D1406" t="s">
        <v>39</v>
      </c>
      <c r="E1406" t="s">
        <v>40</v>
      </c>
      <c r="F1406" t="s">
        <v>41</v>
      </c>
      <c r="G1406" t="s">
        <v>37</v>
      </c>
      <c r="H1406">
        <v>1</v>
      </c>
      <c r="I1406">
        <v>0</v>
      </c>
      <c r="J1406">
        <v>0</v>
      </c>
      <c r="K1406">
        <v>0</v>
      </c>
      <c r="L1406">
        <v>0</v>
      </c>
      <c r="M1406">
        <v>0</v>
      </c>
      <c r="N1406">
        <v>0</v>
      </c>
      <c r="O1406">
        <v>0</v>
      </c>
      <c r="Q1406">
        <v>62</v>
      </c>
    </row>
    <row r="1407" spans="1:17">
      <c r="A1407" t="s">
        <v>1279</v>
      </c>
      <c r="B1407" s="8">
        <v>45746</v>
      </c>
      <c r="C1407" t="s">
        <v>2</v>
      </c>
      <c r="D1407" t="s">
        <v>44</v>
      </c>
      <c r="E1407" t="s">
        <v>40</v>
      </c>
      <c r="F1407" t="s">
        <v>41</v>
      </c>
      <c r="G1407" t="s">
        <v>42</v>
      </c>
      <c r="H1407">
        <v>1</v>
      </c>
      <c r="I1407">
        <v>1</v>
      </c>
      <c r="J1407">
        <v>1</v>
      </c>
      <c r="K1407">
        <v>0</v>
      </c>
      <c r="L1407">
        <v>0</v>
      </c>
      <c r="M1407">
        <v>1</v>
      </c>
      <c r="N1407">
        <v>1</v>
      </c>
      <c r="O1407">
        <v>0</v>
      </c>
      <c r="Q1407">
        <v>72.5</v>
      </c>
    </row>
    <row r="1408" spans="1:17">
      <c r="A1408" t="s">
        <v>1106</v>
      </c>
      <c r="B1408" s="8">
        <v>45793</v>
      </c>
      <c r="C1408" t="s">
        <v>2</v>
      </c>
      <c r="D1408" t="s">
        <v>48</v>
      </c>
      <c r="E1408" t="s">
        <v>40</v>
      </c>
      <c r="F1408" t="s">
        <v>41</v>
      </c>
      <c r="G1408" t="s">
        <v>42</v>
      </c>
      <c r="H1408">
        <v>1</v>
      </c>
      <c r="I1408">
        <v>0</v>
      </c>
      <c r="J1408">
        <v>0</v>
      </c>
      <c r="K1408">
        <v>0</v>
      </c>
      <c r="L1408">
        <v>0</v>
      </c>
      <c r="M1408">
        <v>0</v>
      </c>
      <c r="N1408">
        <v>0</v>
      </c>
      <c r="O1408">
        <v>0</v>
      </c>
      <c r="Q1408">
        <v>70.3</v>
      </c>
    </row>
    <row r="1409" spans="1:17">
      <c r="A1409" t="s">
        <v>588</v>
      </c>
      <c r="B1409" s="8">
        <v>45799</v>
      </c>
      <c r="C1409" t="s">
        <v>1</v>
      </c>
      <c r="D1409" t="s">
        <v>34</v>
      </c>
      <c r="E1409" t="s">
        <v>40</v>
      </c>
      <c r="F1409" t="s">
        <v>45</v>
      </c>
      <c r="G1409" t="s">
        <v>37</v>
      </c>
      <c r="H1409">
        <v>1</v>
      </c>
      <c r="I1409">
        <v>1</v>
      </c>
      <c r="J1409">
        <v>0</v>
      </c>
      <c r="K1409">
        <v>0</v>
      </c>
      <c r="L1409">
        <v>0</v>
      </c>
      <c r="M1409">
        <v>0</v>
      </c>
      <c r="N1409">
        <v>0</v>
      </c>
      <c r="O1409">
        <v>0</v>
      </c>
      <c r="Q1409">
        <v>39.9</v>
      </c>
    </row>
  </sheetData>
  <conditionalFormatting sqref="A1:A140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Region_Analysis</vt:lpstr>
      <vt:lpstr>Device Type Analysis</vt:lpstr>
      <vt:lpstr>Traffic Source Analysis</vt:lpstr>
      <vt:lpstr>Guardrail_Analysis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 Ahmed Vastari</dc:creator>
  <cp:lastModifiedBy>Arif Ahmed Vastari</cp:lastModifiedBy>
  <dcterms:created xsi:type="dcterms:W3CDTF">2026-06-24T14:34:44Z</dcterms:created>
  <dcterms:modified xsi:type="dcterms:W3CDTF">2026-06-24T16:09:22Z</dcterms:modified>
</cp:coreProperties>
</file>